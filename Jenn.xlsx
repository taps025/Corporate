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dividual"/>
    <sheet r:id="rId2" sheetId="2" name="Renewal book 2026"/>
    <sheet r:id="rId3" sheetId="3" name="Revenue walk Retail"/>
    <sheet r:id="rId4" sheetId="4" name="SIB_Retail_details_R"/>
    <sheet r:id="rId5" sheetId="5" name="Lynette"/>
    <sheet r:id="rId6" sheetId="6" name="KEY"/>
    <sheet r:id="rId7" sheetId="7" name="Monthly2016"/>
    <sheet r:id="rId8" sheetId="8" name="Monthly2017"/>
    <sheet r:id="rId9" sheetId="9" name="Sheet1"/>
  </sheets>
  <definedNames>
    <definedName name="_BQ4.1">'[1]#REF'!$A$1:$E$370</definedName>
    <definedName name="_BQ4.2">'[1]#REF'!$A$1:$F$43</definedName>
    <definedName name="_Fill" localSheetId="0">#REF!</definedName>
    <definedName name="_Fill">#REF!</definedName>
    <definedName name="_xlnm._FilterDatabase" localSheetId="7">Monthly2017!$A$2:$AF$353</definedName>
    <definedName name="_xlnm._FilterDatabase" localSheetId="3">SIB_Retail_details_R!$A$33:$K$543</definedName>
    <definedName name="_Order1">255</definedName>
    <definedName name="_Ser1" localSheetId="0">IF([2]Sheet1!#REF!=1,[2]Sheet1!#REF!,[2]Sheet1!#REF!)</definedName>
    <definedName name="_Ser1">IF([2]Sheet1!#REF!=1,[2]Sheet1!#REF!,[2]Sheet1!#REF!)</definedName>
    <definedName name="_Ser2" localSheetId="0">IF([2]Sheet1!#REF!=1,[2]Sheet1!#REF!,[2]Sheet1!#REF!)</definedName>
    <definedName name="_Ser2">IF([2]Sheet1!#REF!=1,[2]Sheet1!#REF!,[2]Sheet1!#REF!)</definedName>
    <definedName name="_Ser3" localSheetId="0">IF([2]Sheet1!#REF!=1,[2]Sheet1!#REF!,[2]Sheet1!#REF!)</definedName>
    <definedName name="_Ser3">IF([2]Sheet1!#REF!=1,[2]Sheet1!#REF!,[2]Sheet1!#REF!)</definedName>
    <definedName name="_Ser4">IF([2]Sheet1!#REF!=1,[2]Sheet1!#REF!,[2]Sheet1!#REF!)</definedName>
    <definedName name="Account" localSheetId="0">#REF!</definedName>
    <definedName name="Account">#REF!</definedName>
    <definedName name="AccountsTM1" localSheetId="0">#REF!</definedName>
    <definedName name="AccountsTM1">#REF!</definedName>
    <definedName name="Adj" localSheetId="0">#REF!</definedName>
    <definedName name="Adj">#REF!</definedName>
    <definedName name="ADJUSTMENTS">#REF!</definedName>
    <definedName name="Affiliate_List">#REF!</definedName>
    <definedName name="All_Months">[3]Global!$L$3:$L$26</definedName>
    <definedName name="ASB" localSheetId="0">#REF!</definedName>
    <definedName name="ASB">#REF!</definedName>
    <definedName name="BLANK" localSheetId="0">#REF!</definedName>
    <definedName name="BLANK">#REF!</definedName>
    <definedName name="Branch">#REF!</definedName>
    <definedName name="BU">[4]General!$C$11</definedName>
    <definedName name="BU_selected_Country">[1]Macrodata!$D$13</definedName>
    <definedName name="BU_selected_Currency">[5]Macrodata!$E$10</definedName>
    <definedName name="BU_selected_w_descr">[1]Macrodata!$C$13</definedName>
    <definedName name="BUD" localSheetId="0">#REF!,#REF!,#REF!,#REF!,#REF!,#REF!,#REF!,#REF!,#REF!,#REF!,#REF!,#REF!,#REF!,#REF!,#REF!,#REF!,#REF!,#REF!</definedName>
    <definedName name="BUD">#REF!,#REF!,#REF!,#REF!,#REF!,#REF!,#REF!,#REF!,#REF!,#REF!,#REF!,#REF!,#REF!,#REF!,#REF!,#REF!,#REF!,#REF!</definedName>
    <definedName name="CHead" localSheetId="0">IF([2]Sheet1!#REF!=1,[2]Sheet1!#REF!,[2]Sheet1!#REF!)</definedName>
    <definedName name="CHead">IF([2]Sheet1!#REF!=1,[2]Sheet1!#REF!,[2]Sheet1!#REF!)</definedName>
    <definedName name="COMM_CONS" localSheetId="0">#REF!</definedName>
    <definedName name="COMM_CONS">#REF!</definedName>
    <definedName name="COMM_DIV" localSheetId="0">#REF!</definedName>
    <definedName name="COMM_DIV">#REF!</definedName>
    <definedName name="CONS_GLB" localSheetId="0">#REF!</definedName>
    <definedName name="CONS_GLB">#REF!</definedName>
    <definedName name="Corporate">#REF!</definedName>
    <definedName name="Country">[1]General!$C$11</definedName>
    <definedName name="Currency">[1]General!$C$12</definedName>
    <definedName name="Current_Month">[6]Start!$E$9</definedName>
    <definedName name="Data1" localSheetId="0">IF([2]Sheet1!#REF!=1,[2]Sheet1!#REF!,[2]Sheet1!#REF!)</definedName>
    <definedName name="Data1">IF([2]Sheet1!#REF!=1,[2]Sheet1!#REF!,[2]Sheet1!#REF!)</definedName>
    <definedName name="Data2" localSheetId="0">IF([2]Sheet1!#REF!=1,[2]Sheet1!#REF!,[2]Sheet1!#REF!)</definedName>
    <definedName name="Data2">IF([2]Sheet1!#REF!=1,[2]Sheet1!#REF!,[2]Sheet1!#REF!)</definedName>
    <definedName name="Data3" localSheetId="0">IF([2]Sheet1!#REF!=1,[2]Sheet1!#REF!,[2]Sheet1!#REF!)</definedName>
    <definedName name="Data3">IF([2]Sheet1!#REF!=1,[2]Sheet1!#REF!,[2]Sheet1!#REF!)</definedName>
    <definedName name="Data4">IF([2]Sheet1!#REF!=1,[2]Sheet1!#REF!,[2]Sheet1!#REF!)</definedName>
    <definedName name="DeptList" localSheetId="0">#REF!</definedName>
    <definedName name="DeptList">#REF!</definedName>
    <definedName name="DIVISIONAL_1K" localSheetId="0">#REF!</definedName>
    <definedName name="DIVISIONAL_1K">#REF!</definedName>
    <definedName name="Divisions">[3]Data!$U$30:$U$41</definedName>
    <definedName name="Divsions" localSheetId="0">#REF!</definedName>
    <definedName name="Divsions">#REF!</definedName>
    <definedName name="drop1" localSheetId="0">#REF!</definedName>
    <definedName name="drop1">#REF!</definedName>
    <definedName name="dupl" localSheetId="0">{#N/A,#N/A,FALSE,"GRAHAM"}</definedName>
    <definedName name="dupl">{#N/A,#N/A,FALSE,"GRAHAM"}</definedName>
    <definedName name="DUPLICATE" localSheetId="0">{#N/A,#N/A,FALSE,"GRAHAM"}</definedName>
    <definedName name="DUPLICATE">{#N/A,#N/A,FALSE,"GRAHAM"}</definedName>
    <definedName name="EXPENSES">'[1]GRP CONS:CONS LVA, DEV DBN &amp; CT '!$A$85:$R$191</definedName>
    <definedName name="FCAST" localSheetId="0">#REF!,#REF!,#REF!,#REF!,#REF!,#REF!,#REF!,#REF!,#REF!,#REF!,#REF!,#REF!,#REF!,#REF!,#REF!,#REF!,#REF!,#REF!</definedName>
    <definedName name="FCAST">#REF!,#REF!,#REF!,#REF!,#REF!,#REF!,#REF!,#REF!,#REF!,#REF!,#REF!,#REF!,#REF!,#REF!,#REF!,#REF!,#REF!,#REF!</definedName>
    <definedName name="FCAST1">[7]FORECAST!$D$8:$P$12,[7]FORECAST!$D$14:$P$18,[7]FORECAST!$D$20:$P$24,[7]FORECAST!$D$41:$P$44,[7]FORECAST!$D$46:$P$47,[7]FORECAST!$D$65:$P$65,[7]FORECAST!$D$67:$P$73,[7]FORECAST!$D$90:$P$96,[7]FORECAST!$D$98:$P$101,[7]FORECAST!$D$103:$P$107,[7]FORECAST!$D$109:$P$118,[7]FORECAST!$D$121:$P$125,[7]FORECAST!$D$127:$P$132,[7]FORECAST!$D$134:$P$135,[7]FORECAST!$D$137:$P$144,[7]FORECAST!$D$146:$P$150,[7]FORECAST!$D$152:$P$153,[7]FORECAST!$D$155:$P$157</definedName>
    <definedName name="fill2" localSheetId="0">#REF!</definedName>
    <definedName name="fill2">#REF!</definedName>
    <definedName name="Fiscal_Year">[6]Start!$C$9</definedName>
    <definedName name="Forecast" localSheetId="0">{#N/A,#N/A,FALSE,"GRAHAM"}</definedName>
    <definedName name="Forecast">{#N/A,#N/A,FALSE,"GRAHAM"}</definedName>
    <definedName name="GLOBAL" localSheetId="0">#REF!</definedName>
    <definedName name="GLOBAL">#REF!</definedName>
    <definedName name="GROUP_CONSOL">'[8]GRP CONS'!$D$8</definedName>
    <definedName name="INC" localSheetId="0">{#N/A,#N/A,FALSE,"GRAHAM"}</definedName>
    <definedName name="INC">{#N/A,#N/A,FALSE,"GRAHAM"}</definedName>
    <definedName name="INCOME">'[1]GRP CONS:CONS LVA, DEV DBN &amp; CT '!$A$2:$R$76</definedName>
    <definedName name="ISIBAYA" localSheetId="0">#REF!</definedName>
    <definedName name="ISIBAYA">#REF!</definedName>
    <definedName name="IT">[9]IT!$E$3</definedName>
    <definedName name="list1" localSheetId="0">#REF!</definedName>
    <definedName name="list1">#REF!</definedName>
    <definedName name="list2" localSheetId="0">#REF!</definedName>
    <definedName name="list2">#REF!</definedName>
    <definedName name="list3">#REF!</definedName>
    <definedName name="list4">#REF!</definedName>
    <definedName name="list5">#REF!</definedName>
    <definedName name="list6">[10]Lists!$F$4:$F$5</definedName>
    <definedName name="list7">[10]Lists!$G$4:$G$15</definedName>
    <definedName name="list8">[10]Lists!$H$4:$H$54</definedName>
    <definedName name="MAFUBE" localSheetId="0">#REF!</definedName>
    <definedName name="MAFUBE">#REF!</definedName>
    <definedName name="MARCH" localSheetId="0">{#N/A,#N/A,FALSE,"GRAHAM"}</definedName>
    <definedName name="MARCH">{#N/A,#N/A,FALSE,"GRAHAM"}</definedName>
    <definedName name="Month" localSheetId="0">#REF!</definedName>
    <definedName name="Month">#REF!</definedName>
    <definedName name="Month_" localSheetId="0">#REF!</definedName>
    <definedName name="Month_">#REF!</definedName>
    <definedName name="Month_desc" localSheetId="0">#REF!</definedName>
    <definedName name="Month_desc">#REF!</definedName>
    <definedName name="Month_selected">[1]Macrodata!$B$1</definedName>
    <definedName name="Months" localSheetId="0">#REF!</definedName>
    <definedName name="Months">#REF!</definedName>
    <definedName name="MUN_CONS" localSheetId="0">#REF!</definedName>
    <definedName name="MUN_CONS">#REF!</definedName>
    <definedName name="N\C">[1]NEW!$E$3</definedName>
    <definedName name="name" localSheetId="0">{#N/A,#N/A,FALSE,"GRAHAM"}</definedName>
    <definedName name="name">{#N/A,#N/A,FALSE,"GRAHAM"}</definedName>
    <definedName name="NTL_CONS" localSheetId="0">#REF!</definedName>
    <definedName name="NTL_CONS">#REF!</definedName>
    <definedName name="Reason">[5]Macrodata!$M$13:$M$19</definedName>
    <definedName name="RISK_MNG">[11]RIM!$E$3</definedName>
    <definedName name="SCHEMES">[12]PSL!$E$3</definedName>
    <definedName name="Select_new" localSheetId="0">#REF!</definedName>
    <definedName name="Select_new">#REF!</definedName>
    <definedName name="sheet2" localSheetId="0">{#N/A,#N/A,FALSE,"GRAHAM"}</definedName>
    <definedName name="sheet2">{#N/A,#N/A,FALSE,"GRAHAM"}</definedName>
    <definedName name="SL01VIEWHND">-1</definedName>
    <definedName name="SSW">[1]SWT!$E$3</definedName>
    <definedName name="SXBNDDSP">0</definedName>
    <definedName name="TEST">'[13]Expense Capture'!$F$66,'[13]Expense Capture'!$F$72,'[13]Expense Capture'!$G$72,'[13]Expense Capture'!$G$66</definedName>
    <definedName name="TM1month" localSheetId="0">#REF!</definedName>
    <definedName name="TM1month">#REF!</definedName>
    <definedName name="TM1REBUILDOPTION">1</definedName>
    <definedName name="Totals">'[13]Expense Capture'!$D$14:$P$14,'[13]Expense Capture'!$D$18:$P$18,'[13]Expense Capture'!$D$27:$P$27,'[13]Expense Capture'!$D$38:$P$39,'[13]Expense Capture'!$D$45:$P$45,'[13]Expense Capture'!$D$53:$P$53,'[13]Expense Capture'!$D$56:$P$56,'[13]Expense Capture'!$D$66:$P$66,'[13]Expense Capture'!$D$72:$P$72,'[13]Expense Capture'!$D$77:$P$78,'[13]Expense Capture'!$D$81:$P$83,'[13]Expense Capture'!$D$88:$P$88,'[13]Expense Capture'!$D$113:$P$114</definedName>
    <definedName name="TVL">[1]MUN!$E$3</definedName>
    <definedName name="VAR_RPT_000" localSheetId="0">#REF!</definedName>
    <definedName name="VAR_RPT_000">#REF!</definedName>
    <definedName name="VARIANCE_REPORT">[8]VARIANCE!$D$11</definedName>
    <definedName name="version" localSheetId="0">#REF!</definedName>
    <definedName name="version">#REF!</definedName>
    <definedName name="WAR" localSheetId="0">{#N/A,#N/A,FALSE,"GRAHAM"}</definedName>
    <definedName name="WAR">{#N/A,#N/A,FALSE,"GRAHAM"}</definedName>
    <definedName name="wrn.INCOME." localSheetId="0">{#N/A,#N/A,FALSE,"GRAHAM"}</definedName>
    <definedName name="wrn.INCOME.">{#N/A,#N/A,FALSE,"GRAHAM"}</definedName>
    <definedName name="year" localSheetId="0">#REF!</definedName>
    <definedName name="year">#REF!</definedName>
  </definedNames>
  <calcPr fullCalcOnLoad="1"/>
</workbook>
</file>

<file path=xl/sharedStrings.xml><?xml version="1.0" encoding="utf-8"?>
<sst xmlns="http://schemas.openxmlformats.org/spreadsheetml/2006/main" count="6817" uniqueCount="1621">
  <si>
    <t>Annual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</si>
  <si>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</si>
  <si>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</si>
  <si>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</si>
  <si>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</si>
  <si>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</si>
  <si>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</si>
  <si>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</si>
  <si>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</si>
  <si>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</si>
  <si>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</si>
  <si>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</si>
  <si>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</si>
  <si>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All Months</t>
  </si>
  <si>
    <t>Consultant TCTC</t>
  </si>
  <si>
    <t>Permanent TCTC</t>
  </si>
  <si>
    <t>Temp TCTC</t>
  </si>
  <si>
    <t>Total</t>
  </si>
  <si>
    <t>67891 - Hewitt McLagan</t>
  </si>
  <si>
    <t>263313 - TYRONE BRUCE JANSEN</t>
  </si>
  <si>
    <t>67852 -  Healthcare Operations</t>
  </si>
  <si>
    <t>0</t>
  </si>
  <si>
    <t>120102 - CLAUDIA LAHOUD</t>
  </si>
  <si>
    <t>140502 - JACQUELINE NEL</t>
  </si>
  <si>
    <t>262434 - ANNAKE PEARCE</t>
  </si>
  <si>
    <t>262608 - GAVIN JOHN GRIFFIN</t>
  </si>
  <si>
    <t>67853 -  Healthcare Bloemfontein</t>
  </si>
  <si>
    <t>220537 - ANILIA BOSHOFF</t>
  </si>
  <si>
    <t>220554 - HELEN VAN HEERDEN</t>
  </si>
  <si>
    <t>263195 - LEONIE FOURIE</t>
  </si>
  <si>
    <t>67854 -  Healthcare Cape Town</t>
  </si>
  <si>
    <t>220110 - MARGAUX VAN HUYSSTEEN</t>
  </si>
  <si>
    <t>260001 - VALENTINO YOUNG</t>
  </si>
  <si>
    <t>263398 - ANTON EUGENE FOSTER</t>
  </si>
  <si>
    <t>263625 - PORTIA LINN MOEN</t>
  </si>
  <si>
    <t>263709 - MOGAMAT NASIER LOUBSCHER</t>
  </si>
  <si>
    <t>67855 -  Healthcare Durban</t>
  </si>
  <si>
    <t>161800 - FRANK ADRIAN PREEN</t>
  </si>
  <si>
    <t>190172 - CATERINE CECILIA SINGH</t>
  </si>
  <si>
    <t>20164 - MARIANET BREYTENBACH</t>
  </si>
  <si>
    <t>263268 - ELIZABETH ANN PREEN</t>
  </si>
  <si>
    <t>263441 - DHANASAGERI KUPPUSAMY</t>
  </si>
  <si>
    <t>263706 - NKULULEKO GLADWELL SIBISI</t>
  </si>
  <si>
    <t>263724 - THOLINHLANHLA ANDILE DLAMINI</t>
  </si>
  <si>
    <t>71509 - KEVANDHREE KADY GOVENDER</t>
  </si>
  <si>
    <t>67856 -  Healthcare Port Elizabeth</t>
  </si>
  <si>
    <t>21510 - CHARMAINE VAN ECK</t>
  </si>
  <si>
    <t>262957 - AREESH SATAAR</t>
  </si>
  <si>
    <t>263504 - NTOMBOXOLO EUGENIA STEMELE</t>
  </si>
  <si>
    <t>263756 - ZWELITHA TSHITHIZA</t>
  </si>
  <si>
    <t>67857 -  Healthcare Pretoria</t>
  </si>
  <si>
    <t>220114 - GERTRUIDA PETRONELLA VAN DER RYST</t>
  </si>
  <si>
    <t>263745 - WAYNE KENNETH BOJé</t>
  </si>
  <si>
    <t>50402 - BRUCE ANDREW EDWARDS</t>
  </si>
  <si>
    <t>61812 - ROXANNE SHARON VON ABO</t>
  </si>
  <si>
    <t>61821 - CHANTEL FRITZ</t>
  </si>
  <si>
    <t>67858 -  Health Risk Management</t>
  </si>
  <si>
    <t>151608 - CHRISTINE CHARLOTTE OOSTHUIZEN</t>
  </si>
  <si>
    <t>67860 -  Healthcare Sales</t>
  </si>
  <si>
    <t>263747 - GAVIN ROBERTS</t>
  </si>
  <si>
    <t>New 1</t>
  </si>
  <si>
    <t>67862 -  Service SSC</t>
  </si>
  <si>
    <t>11411 - SHAAHIDA ADAMS</t>
  </si>
  <si>
    <t>230528 - JOHANNES BAREND WOLMARANS</t>
  </si>
  <si>
    <t>262854 - HILARY FLORENCE LOCK</t>
  </si>
  <si>
    <t>263377 - CHARLENE ERIKA FLEISCHER</t>
  </si>
  <si>
    <t>263689 - MUHAMMED-KHALID ALI JORDAAN</t>
  </si>
  <si>
    <t>67863 -  Healthcare Team1</t>
  </si>
  <si>
    <t>220118 - DEIDRE MARX</t>
  </si>
  <si>
    <t>262309 - NGOAKO JOSLINAH HEYMANN</t>
  </si>
  <si>
    <t>262533 - ASHLEY BALDWIN ADAMS</t>
  </si>
  <si>
    <t>262648 - ARON SIPHO MNISI</t>
  </si>
  <si>
    <t>67865 -  Healthcare Team3</t>
  </si>
  <si>
    <t>120110 - CELESTE AQUALINE LAWRENCE</t>
  </si>
  <si>
    <t>151601 - BRENDA OPPERMAN</t>
  </si>
  <si>
    <t>190134 - CAREN SWANEPOEL</t>
  </si>
  <si>
    <t>70136 - VINODHA SELEENA GOVENDER</t>
  </si>
  <si>
    <t>67866 -  Healthcare Team4</t>
  </si>
  <si>
    <t>11403 - YUNUS ANIFF</t>
  </si>
  <si>
    <t>190166 - JODI SHULMAN</t>
  </si>
  <si>
    <t>262547 - MERVIN ANDERSON</t>
  </si>
  <si>
    <t>263744 - FIRDAUS SOOMAR</t>
  </si>
  <si>
    <t>30821 - JANETTE SUSAN CLARK</t>
  </si>
  <si>
    <t>67861 -  Service ARC</t>
  </si>
  <si>
    <t>200806 - AMANDA CELESTE THINNIES</t>
  </si>
  <si>
    <t>20170 - MARGARETHA ELAINE BROODRYK</t>
  </si>
  <si>
    <t>262410 - ABEDAH CHASULWA MUSENGI</t>
  </si>
  <si>
    <t>262642 - KENEILWE CATHERINE LEEUW</t>
  </si>
  <si>
    <t>263145 - NONHLANHLA FAITH HLONGWANE</t>
  </si>
  <si>
    <t>263473 - RIANA LOUISE FERREIRA</t>
  </si>
  <si>
    <t>263627 - RIYAAZ MARGROSE</t>
  </si>
  <si>
    <t>263631 - THABISA GINO MADZE</t>
  </si>
  <si>
    <t>263694 - GLENDA JOAN VELDMAN</t>
  </si>
  <si>
    <t>263710 - REHUMILE PATRICIA JIYANE</t>
  </si>
  <si>
    <t>60900 - CAROL FINGLESON</t>
  </si>
  <si>
    <t>61820 - MAGARETHA GERALDINE LE ROUX</t>
  </si>
  <si>
    <t>67874 -  RF Consulting</t>
  </si>
  <si>
    <t>130117 - JOHANNES MAKGOBELA</t>
  </si>
  <si>
    <t>141106 - IGNATIUS NDLOVU</t>
  </si>
  <si>
    <t>151609 - BONITA OOSTHUIZEN</t>
  </si>
  <si>
    <t>160951 - DEREK PILLAY</t>
  </si>
  <si>
    <t>230511 - CARON ROSE WOOLLS</t>
  </si>
  <si>
    <t>263300 - HEINRICH LAMPRECHT</t>
  </si>
  <si>
    <t>263320 - MIRANDA SWANEPOEL</t>
  </si>
  <si>
    <t>263420 - MARCIA MARGARET VAN DER WESTHUIZEN</t>
  </si>
  <si>
    <t>263579 - JOHANNES ANDRIES BOTHA</t>
  </si>
  <si>
    <t>263700 - NAOME DIONALA TERTIA NDLOVU</t>
  </si>
  <si>
    <t>40508 - BRIAN RAYMOND DESBOIS</t>
  </si>
  <si>
    <t>82140 - ANDREA HIGGINS DIAS</t>
  </si>
  <si>
    <t>82145 - HILLARY CHERYL HICKS</t>
  </si>
  <si>
    <t>Kind Mabena</t>
  </si>
  <si>
    <t>67890 -  CHO Head Office</t>
  </si>
  <si>
    <t>262327 - NDIVHUWO FULUFHELO MANYONGA</t>
  </si>
  <si>
    <t>67885 -  The Benefit Solution</t>
  </si>
  <si>
    <t>263421 - CLAUDETTE ODELE SONI</t>
  </si>
  <si>
    <t>67879 - Pensions</t>
  </si>
  <si>
    <t>200114 - CARLO TOGNON</t>
  </si>
  <si>
    <t>263588 - BOOKER MFUNE</t>
  </si>
  <si>
    <t>GLOBAL BENEFITS (4200ZA)</t>
  </si>
  <si>
    <t>262699 - THARANGANY SINGARAVELLOO</t>
  </si>
  <si>
    <t>CUBE:</t>
  </si>
  <si>
    <t>aon prd:Payroll</t>
  </si>
  <si>
    <t>aon prd:Year</t>
  </si>
  <si>
    <t>2016</t>
  </si>
  <si>
    <t>aon prd:Version</t>
  </si>
  <si>
    <t>Working Forecast</t>
  </si>
  <si>
    <t>Cash Component   (D)</t>
  </si>
  <si>
    <t>Cash Component - Temp   (D)</t>
  </si>
  <si>
    <t>Cash Component - Consultant   (D)</t>
  </si>
  <si>
    <t>130307 - LUTHANDO MRWEBI</t>
  </si>
  <si>
    <t>61822 - LEE CATHERINE FRASER</t>
  </si>
  <si>
    <t>262532 - NEO GIVEN MOHOLISA</t>
  </si>
  <si>
    <t>262959 - LOIS CATHLEEN JOHNSON</t>
  </si>
  <si>
    <t>263232 - KARABO TSEREMA</t>
  </si>
  <si>
    <t>263178 - DARREN ROSS HANCOCK</t>
  </si>
  <si>
    <t>263463 - LESLIE PATRICK PRIMO</t>
  </si>
  <si>
    <t>263638 - OLIVIA VAN DER HOVEN</t>
  </si>
  <si>
    <t>Break out =</t>
  </si>
  <si>
    <t>Also do a FTE (headcount)</t>
  </si>
  <si>
    <t>Add in mid term 2016 starters impact</t>
  </si>
  <si>
    <t>Restructure -</t>
  </si>
  <si>
    <t>Run rate impact</t>
  </si>
  <si>
    <t>Claims out</t>
  </si>
  <si>
    <t>new new</t>
  </si>
  <si>
    <t>per BU</t>
  </si>
  <si>
    <t>Retail out</t>
  </si>
  <si>
    <t>new replacement</t>
  </si>
  <si>
    <t>Broking out</t>
  </si>
  <si>
    <t>transfers</t>
  </si>
  <si>
    <t>perhaps</t>
  </si>
  <si>
    <t>CFC out</t>
  </si>
  <si>
    <t>UNKNOWN LEAVER</t>
  </si>
  <si>
    <t>REPLACEMENTS</t>
  </si>
  <si>
    <t>SEPARATIONS - INVOLUNTARY</t>
  </si>
  <si>
    <t>NET SALARY CHANGES</t>
  </si>
  <si>
    <t>SEPARATIONS - VOLUNTARY</t>
  </si>
  <si>
    <t>NEW POSITIONS</t>
  </si>
  <si>
    <t>AON PRD:PAYROLL</t>
  </si>
  <si>
    <t>ACTUAL</t>
  </si>
  <si>
    <t>CHECK</t>
  </si>
  <si>
    <t>ANNUAL</t>
  </si>
  <si>
    <t>UNSPECIFIED DEPARTMENT</t>
  </si>
  <si>
    <t xml:space="preserve">BUSINESS UNIT </t>
  </si>
  <si>
    <t>DEPARTMENT</t>
  </si>
  <si>
    <t>EMPLOYEE CODE - NAME &amp; SURNAME</t>
  </si>
  <si>
    <t>CLASSIFICATION</t>
  </si>
  <si>
    <t>EMPLOYEE BENEFITS</t>
  </si>
  <si>
    <t>67862 -  SERVICE SSC</t>
  </si>
  <si>
    <t>67852 -  HEALTHCARE OPERATIONS</t>
  </si>
  <si>
    <t>67865 -  HEALTHCARE TEAM3</t>
  </si>
  <si>
    <t>67874 -  RF CONSULTING</t>
  </si>
  <si>
    <t>67866 -  HEALTHCARE TEAM4</t>
  </si>
  <si>
    <t>130142 - THULANI GIDEON MABENA</t>
  </si>
  <si>
    <t xml:space="preserve"> '16</t>
  </si>
  <si>
    <t>67855 -  HEALTHCARE DURBAN</t>
  </si>
  <si>
    <t>SEPARATIONS - VOLUNTARY '16</t>
  </si>
  <si>
    <t>67879 -  QED PENSIONS</t>
  </si>
  <si>
    <t>130314 - LILLIAN NEO MOAGI</t>
  </si>
  <si>
    <t>141149 - NOSIPHO PORTIA NGXULELO</t>
  </si>
  <si>
    <t>67858 -  HEALTH RISK MANAGEMENT</t>
  </si>
  <si>
    <t>67857 -  HEALTHCARE PRETORIA</t>
  </si>
  <si>
    <t>190184 - TREVOR SCHOONRAAD</t>
  </si>
  <si>
    <t>200112 - GIULIA TOGNON</t>
  </si>
  <si>
    <t>67861 -  SERVICE ARC</t>
  </si>
  <si>
    <t>67856 -  HEALTHCARE PORT ELIZABETH</t>
  </si>
  <si>
    <t>67854 -  HEALTHCARE CAPE TOWN</t>
  </si>
  <si>
    <t>67863 -  HEALTHCARE TEAM1</t>
  </si>
  <si>
    <t>67853 -  HEALTHCARE BLOEMFONTEIN</t>
  </si>
  <si>
    <t>260911 - CHARMAINE NDWANDWE</t>
  </si>
  <si>
    <t>67860 -  HEALTHCARE SALES</t>
  </si>
  <si>
    <t>262317 - THEMBINKOSI MASEMULA</t>
  </si>
  <si>
    <t>262322 - YUSUF FAROUK CHOTHIA</t>
  </si>
  <si>
    <t>67890 -  CHO HEAD OFFICE</t>
  </si>
  <si>
    <t>262413 - HELENA SUSANNA ALETHA KRIEK</t>
  </si>
  <si>
    <t>262497 - KENEILWE JUDITH LEGOTE</t>
  </si>
  <si>
    <t>262550 - ROXANNE CARLA THINNIES</t>
  </si>
  <si>
    <t>262689 - IMTIAAZ EDWARDS</t>
  </si>
  <si>
    <t>67884 -  GLOBAL BENEFITS AFRICA</t>
  </si>
  <si>
    <t>262749 - DEON STEYN</t>
  </si>
  <si>
    <t>262753 - LAREN JOAN GILL</t>
  </si>
  <si>
    <t>262795 - MABEL JESSIE FRANCIS</t>
  </si>
  <si>
    <t>262800 - JURGEN FLEISCHMANN</t>
  </si>
  <si>
    <t>262958 - DOREEN FRANCIS MOFFATT</t>
  </si>
  <si>
    <t>262973 - KERVIN ROLLAND VAN RENSBURG</t>
  </si>
  <si>
    <t>67859 -  MEMBER MANAGEMENT</t>
  </si>
  <si>
    <t>262974 - OLWETHU NYANGIWE</t>
  </si>
  <si>
    <t>263272 - AMILCAR KGOTSO JARDINE</t>
  </si>
  <si>
    <t>263347 - NOMVULA CAROL SHONGWE</t>
  </si>
  <si>
    <t>SEPARATIONS - INVOLUNTARY '16</t>
  </si>
  <si>
    <t>REPLACEMENTS '16</t>
  </si>
  <si>
    <t>263725 - ANEEQUA SATAAR</t>
  </si>
  <si>
    <t>30808 - MWANSA CHOKOLO</t>
  </si>
  <si>
    <t>40518 - SHAUN DOWLEY</t>
  </si>
  <si>
    <t>50394 - ALPHINAH MMACATCHE PHOSA</t>
  </si>
  <si>
    <t>51332 - MAGARET ZULU</t>
  </si>
  <si>
    <t>70106 - XOLILE GUBUZA</t>
  </si>
  <si>
    <t>262457 - LESLIE PATRICK PRIMO</t>
  </si>
  <si>
    <t>263340 - PORTIA LINN MOEN</t>
  </si>
  <si>
    <t>67885 -  THE BENEFIT SOLUTION</t>
  </si>
  <si>
    <t>ANDILE DLAMINI</t>
  </si>
  <si>
    <t>FIRDAUS SOOMAR</t>
  </si>
  <si>
    <t>WAYNE BOJÉ</t>
  </si>
  <si>
    <t>NEW POSITIONS '16</t>
  </si>
  <si>
    <t>GAVIN ROBERTS</t>
  </si>
  <si>
    <t>ZWELITSHA TSHITHIZA</t>
  </si>
  <si>
    <t>KIND MABENA</t>
  </si>
  <si>
    <t>263423 - KIND MABHENA</t>
  </si>
  <si>
    <t>NET SALARY CHANGES '16</t>
  </si>
  <si>
    <t>NEW 1</t>
  </si>
  <si>
    <t>REPLACEMENTS - FORECAST '16</t>
  </si>
  <si>
    <t>NEW 3</t>
  </si>
  <si>
    <t>NEW 2</t>
  </si>
  <si>
    <t>NEW 4</t>
  </si>
  <si>
    <t>NEW 5</t>
  </si>
  <si>
    <t>NEW 6</t>
  </si>
  <si>
    <t>HEWITT EXIT</t>
  </si>
  <si>
    <t>67886 -  RETIREMENT FUNDING FUTURE SALE</t>
  </si>
  <si>
    <t>100129 - LEVERNE LAYLAHNE JAPPIE</t>
  </si>
  <si>
    <t>67887 -  HEADOFFCE FUTURE SALE BUSINESS</t>
  </si>
  <si>
    <t>1013 - VIRGINIA PODILE</t>
  </si>
  <si>
    <t>11419 - JAMES JOSEPH ADAMS</t>
  </si>
  <si>
    <t>130271 - BERESFORD LOUIS MARTIN</t>
  </si>
  <si>
    <t>130292 - NKANYISO MPOFU</t>
  </si>
  <si>
    <t>141101 - DIJON NKOMO</t>
  </si>
  <si>
    <t>141123 - PETRONELLA ZANELE NKONYANE</t>
  </si>
  <si>
    <t>180101 - GLENELG KABELO RAKALE</t>
  </si>
  <si>
    <t>181547 - AIFHELI EDWARDS RAMBAU</t>
  </si>
  <si>
    <t>181550 - NORMA GAIL RODRIGUES</t>
  </si>
  <si>
    <t>181563 - REFILOE RELEBOHILE PALESA TINTE</t>
  </si>
  <si>
    <t>190119 - MARCIA MARGARET JOHNSON</t>
  </si>
  <si>
    <t>190125 - KHATIJA SAKOOR</t>
  </si>
  <si>
    <t>190167 - ZININGI PEARL SITHOLE</t>
  </si>
  <si>
    <t>20157 - ELMARIE BUYTENDAG</t>
  </si>
  <si>
    <t>262347 - DUDUZILE LETUKA</t>
  </si>
  <si>
    <t>262820 - LUNGILE BONGIWE MABASO</t>
  </si>
  <si>
    <t>262843 - SABELO PROGRESS DLAMINI</t>
  </si>
  <si>
    <t>262846 - STELLA GODINHO</t>
  </si>
  <si>
    <t>262865 - ANNELIZE WINKLER</t>
  </si>
  <si>
    <t>262902 - ROBERT CHARLTON KENT</t>
  </si>
  <si>
    <t>262903 - IKANYENG FREDAH NALA</t>
  </si>
  <si>
    <t>263180 - STEFANE BREDENKAMP</t>
  </si>
  <si>
    <t>RESTRUCTURING</t>
  </si>
  <si>
    <t>263352 - CHANDRé COERTZEN</t>
  </si>
  <si>
    <t>263371 - RASHIKA BHEMNARAYAN</t>
  </si>
  <si>
    <t>263393 - COENRAAD ANTHONIE HITGE</t>
  </si>
  <si>
    <t>263740 - LEONORE HELEN HOLLINGTON</t>
  </si>
  <si>
    <t>30853 - CLAUDIA CLARK</t>
  </si>
  <si>
    <t>52009 - ESME ERASMUS</t>
  </si>
  <si>
    <t>70132 - ASHMITHA GOVIND</t>
  </si>
  <si>
    <t>100121 - LORRAINE JAGER</t>
  </si>
  <si>
    <t>263408 - LORRAINE JAGER</t>
  </si>
  <si>
    <t>130104 - KIND MABHENA</t>
  </si>
  <si>
    <t>160922 - MARCELLE PAYNEE</t>
  </si>
  <si>
    <t>263405 - MARCELLE PAYNEE</t>
  </si>
  <si>
    <t>191504 - CLAUDETTE ODELE SONI</t>
  </si>
  <si>
    <t>230103 - GREGORY VIVIAN WALKER</t>
  </si>
  <si>
    <t>263426 - GREGORY VIVIAN WALKER</t>
  </si>
  <si>
    <t>262395 - LEONORE HELEN HOLLINGTON</t>
  </si>
  <si>
    <t>263407 - LEONORE HELEN HOLLINGTON</t>
  </si>
  <si>
    <t>262684 - ANA-PAULA MIGUEL SATHEE</t>
  </si>
  <si>
    <t>263406 - ANA-PAULA MIGUEL SATHEE</t>
  </si>
  <si>
    <t>40528 - LOUISE PETRONELLA DOUMAN</t>
  </si>
  <si>
    <t>263404 - LOUISE PETRONELLA DOUMAN</t>
  </si>
  <si>
    <t>82114 - CLAUDETTE HERMAN</t>
  </si>
  <si>
    <t>263424 - CLAUDETTE HERMAN</t>
  </si>
  <si>
    <t>113034 - JACOBUS ALBERTUS KOK</t>
  </si>
  <si>
    <t>RESTRUCTURING '16</t>
  </si>
  <si>
    <t>RETAIL</t>
  </si>
  <si>
    <t>67754 -  CORPORATE CAPE TOWN</t>
  </si>
  <si>
    <t>100100 - GERDALENE JANSE VAN RENSBURG</t>
  </si>
  <si>
    <t>67787 -  COMMERCIAL NEW CASTLE</t>
  </si>
  <si>
    <t>100128 - MARIEET SUSANNA JACOBS</t>
  </si>
  <si>
    <t>67780 -  COMMERCIAL DURBAN</t>
  </si>
  <si>
    <t>100132 - KESHINI JOSEPH</t>
  </si>
  <si>
    <t>67785 -  COMMERCIAL MAFIKENG</t>
  </si>
  <si>
    <t>1016 - MAGGIE MIETA MATHIBE</t>
  </si>
  <si>
    <t>67782 -  COMMERCIAL PORT ELIZABETH</t>
  </si>
  <si>
    <t>1062 - GILLIAN ANN BARTON</t>
  </si>
  <si>
    <t>67930 -  BRANCH OPERATIONS BLOEMFONTEIN</t>
  </si>
  <si>
    <t>110701 - ADELINAH KGASANE</t>
  </si>
  <si>
    <t>67784 -  COMMERCIAL KIMBERLEY</t>
  </si>
  <si>
    <t>110903 - ANNA ELIZABETH KITSHOFF</t>
  </si>
  <si>
    <t>67781 -  COMMERCIAL JOHANNESBURG</t>
  </si>
  <si>
    <t>11405 - CHANINE COLETT SCHROEDER</t>
  </si>
  <si>
    <t>67756 -  CORPORATE JOHANNESBURG</t>
  </si>
  <si>
    <t>11415 - ANITA SUSAN ADRIAANSE</t>
  </si>
  <si>
    <t>1159 - NOMBULELO EDNA MKONDO</t>
  </si>
  <si>
    <t>11601 - NOAH JOSEPH APPALSAMY</t>
  </si>
  <si>
    <t>120108 - JENNIFER LABUSCHAGNE</t>
  </si>
  <si>
    <t>67740 -  RETAIL HEAD OFFICE</t>
  </si>
  <si>
    <t>120500 - STEPHEN DAVID LEVITT</t>
  </si>
  <si>
    <t>67929 -  HEAD OFFICE</t>
  </si>
  <si>
    <t>120539 - CHANTELLE LORETI</t>
  </si>
  <si>
    <t>67931 -  BRANCH OPERATIONS CAPE TOWN</t>
  </si>
  <si>
    <t>121502 - DEELIA LOUW</t>
  </si>
  <si>
    <t>67750 -  FINANCIAL INSTIT &amp; PROF RISKS</t>
  </si>
  <si>
    <t>1288 - KERRY LEE CURTIN</t>
  </si>
  <si>
    <t>1295 - ADRIAN HOWARD FRENCH</t>
  </si>
  <si>
    <t>67783 -  COMMERCIAL PRETORIA</t>
  </si>
  <si>
    <t>130125 - ELMIEN FERREIRA</t>
  </si>
  <si>
    <t>130141 - STEPHEN MOLEFI MODISE</t>
  </si>
  <si>
    <t>130145 - DAVID JEFFREY MARAIS</t>
  </si>
  <si>
    <t>67792 -  COMMERCIAL POLOKWANE</t>
  </si>
  <si>
    <t>130172 - PHUMLANI XOLANI MNCUBE</t>
  </si>
  <si>
    <t>67932 -  BRANCH OPERATIONS DURBAN</t>
  </si>
  <si>
    <t>130187 - LEE JOAN MOUTSATSOS</t>
  </si>
  <si>
    <t>131512 - SARAH NOBELUNGU MOPHOSHO</t>
  </si>
  <si>
    <t>131513 - CASSANDRA SHARLENE MOODLEY</t>
  </si>
  <si>
    <t>134 - GLYNIS PETZER</t>
  </si>
  <si>
    <t>67749 -  SPORTS, RECREATION &amp; ENT.</t>
  </si>
  <si>
    <t>141103 - PROMISE NGOBENI</t>
  </si>
  <si>
    <t>67934 -  BRANCH OPERATIONS PRETORIA</t>
  </si>
  <si>
    <t>141134 - ZANELE SIBONGILE NTULI</t>
  </si>
  <si>
    <t>1451 - CASPER HENDRIK COETZEE</t>
  </si>
  <si>
    <t>1460 - MAUREEN BIVERLEY TIBAH</t>
  </si>
  <si>
    <t>1497 - DAVID BRUCE STRATTON</t>
  </si>
  <si>
    <t>67779 -  COMMERCIAL CAPE TOWN</t>
  </si>
  <si>
    <t>150301 - NOEL KEVIN OCTOBER</t>
  </si>
  <si>
    <t>160102 - MOGANAMBAL PADAYACHEE</t>
  </si>
  <si>
    <t>160500 - DONNA PETERSEN</t>
  </si>
  <si>
    <t>160926 - KARIN INGRID PRETORIUS</t>
  </si>
  <si>
    <t>160946 - RAHIEMA PLAATJIES</t>
  </si>
  <si>
    <t>160955 - GRETHE NORTJE</t>
  </si>
  <si>
    <t>67789 -  COMMERCIAL EAST LONDON</t>
  </si>
  <si>
    <t>1703 - BURNETTE ELIZABETH SALLGREN</t>
  </si>
  <si>
    <t>1762 - ELAYNE CAREY PERCY LANCASTER</t>
  </si>
  <si>
    <t>67778 -  COMMERCIAL BLOEMFONTEIN</t>
  </si>
  <si>
    <t>180500 - WILMA REYNEKE</t>
  </si>
  <si>
    <t>180502 - CHARMAINE CYNTHIA RETIEF</t>
  </si>
  <si>
    <t>1810 - KEVIN GARTH ROWE</t>
  </si>
  <si>
    <t>181507 - CINDY ROBERTS</t>
  </si>
  <si>
    <t>181510 - DAVID ANTHONY ROSE INNES</t>
  </si>
  <si>
    <t>181513 - MICHELLE JENNIFER RAVENSCROFT</t>
  </si>
  <si>
    <t>181515 - CHERYL ANN BEUREL</t>
  </si>
  <si>
    <t>182000 - JOHANNES PETRUS RUHLING</t>
  </si>
  <si>
    <t>1839 - JOANNE SUE WINGFIELD</t>
  </si>
  <si>
    <t>1863 - JOHANNA JACOBA LOMBARD</t>
  </si>
  <si>
    <t>190104 - SHANNON SAWYER</t>
  </si>
  <si>
    <t>190128 - DIMAKATO PATRICIA SEHWANA</t>
  </si>
  <si>
    <t>190301 - CAROL ANNE SCHOEMAN</t>
  </si>
  <si>
    <t>190302 - JANYS ELIZABETH SCHONKEN</t>
  </si>
  <si>
    <t>190309 - ELIZABETH SCHOEMAN</t>
  </si>
  <si>
    <t>192303 - ANNA MARIA ALIDA SWARTS</t>
  </si>
  <si>
    <t>1990 - SAMUEL BABILI MNCWANGA</t>
  </si>
  <si>
    <t>67746 -  MARINE</t>
  </si>
  <si>
    <t>200133 - ELSIE TAU</t>
  </si>
  <si>
    <t>67768 -  RISK CONSULTING</t>
  </si>
  <si>
    <t>20103 - MARIA FERNANDA BARATA</t>
  </si>
  <si>
    <t>20136 - POULA SHARMAIN BRITZ</t>
  </si>
  <si>
    <t>20138 - LAURENCE BLOCH</t>
  </si>
  <si>
    <t>20510 - JENNIFER ANDREA BEESLAAR</t>
  </si>
  <si>
    <t>2054 - GERHARDT PETER BEAN</t>
  </si>
  <si>
    <t>20900 - NICOLO CORNELIUS BIANCO</t>
  </si>
  <si>
    <t>20901 - HUSSAIN ISMAIL BHIKHOO</t>
  </si>
  <si>
    <t>67926 -  BUSINESS INTELLIGENCE</t>
  </si>
  <si>
    <t>21508 - FRANCES BOLTTLER</t>
  </si>
  <si>
    <t>220104 - ADRIANA LUCIA VAN DYK</t>
  </si>
  <si>
    <t>220105 - BRIAN HUGO VAN HEERDEN</t>
  </si>
  <si>
    <t>220501 - JILL BRENDA VERMEULEN</t>
  </si>
  <si>
    <t>220506 - ANNA MARIA ALETTA VENTER</t>
  </si>
  <si>
    <t>220520 - ESTA VAN NIEKERK</t>
  </si>
  <si>
    <t>220548 - ANITA VAN DER MERWE</t>
  </si>
  <si>
    <t>220901 - DAVID RICHARD VINES</t>
  </si>
  <si>
    <t>22501 - PAUL RAYMOND BYROM</t>
  </si>
  <si>
    <t>230101 - KEVIN KELSO WALKER</t>
  </si>
  <si>
    <t>231501 - GERALD PETER WILLIAMS</t>
  </si>
  <si>
    <t>231504 - MARIE CLAIRE SUZANNE WEINER</t>
  </si>
  <si>
    <t>247 - PETRUS HENDRIK VERMAAK</t>
  </si>
  <si>
    <t>2477 - ANNETTE SUSAN ROSSOUW</t>
  </si>
  <si>
    <t>2559 - PHISIWE ROSY MANYANA</t>
  </si>
  <si>
    <t>262301 - PHILISIWE  ELSIE NTSHANGASE</t>
  </si>
  <si>
    <t>262313 - THEMBELIHLE ZAMANGUNI NDWANDWE</t>
  </si>
  <si>
    <t>262319 - MOROMANG ROMI TSHOLO</t>
  </si>
  <si>
    <t>262330 - LIEZEL JOUBERT</t>
  </si>
  <si>
    <t>67743 -  CONSTRUCTION &amp; ENGINEERING</t>
  </si>
  <si>
    <t>262361 - BONGANI ROBERT TSHABALALA</t>
  </si>
  <si>
    <t>67763 -  FIN SERVICES AIIF</t>
  </si>
  <si>
    <t>262373 - BIANCA NATASHA FEARICK</t>
  </si>
  <si>
    <t>67752 -  PROFESSIONAL SERVICES</t>
  </si>
  <si>
    <t>262385 - NABEEL ABOO</t>
  </si>
  <si>
    <t>262386 - VELANI KEITH KONA</t>
  </si>
  <si>
    <t>262388 - ZWELAKHE NHLAPO</t>
  </si>
  <si>
    <t>67776 -  COMMERCIAL OPERATIONS</t>
  </si>
  <si>
    <t>262389 - VALENCIA MAKHAZA</t>
  </si>
  <si>
    <t>67927 -  TRAINING</t>
  </si>
  <si>
    <t>262391 - NOAH ROBERT CELE</t>
  </si>
  <si>
    <t>262394 - JAMES ANTONIUS HENDRICKS</t>
  </si>
  <si>
    <t>67751 -  TRADE CREDIT</t>
  </si>
  <si>
    <t>262400 - MARIA JOSE TEIXEIRA</t>
  </si>
  <si>
    <t>67790 -  COMMERCIAL GEORGE</t>
  </si>
  <si>
    <t>262404 - PETRUS JACOBUS VERMEULEN</t>
  </si>
  <si>
    <t>262408 - SCHANE KEMP</t>
  </si>
  <si>
    <t>262409 - LE-ARN MARY EDWARDS</t>
  </si>
  <si>
    <t>67921 -  NATIONAL SALES</t>
  </si>
  <si>
    <t>262423 - DYLAN SHAUN MARTIN</t>
  </si>
  <si>
    <t>262458 - ROBERT ALAN GöLLNITZ</t>
  </si>
  <si>
    <t>262467 - JOHANNA CATHARINA SWANEPOEL</t>
  </si>
  <si>
    <t>262475 - ALANA LOUISE WHITESIDE</t>
  </si>
  <si>
    <t>262481 - GODFREY SELLO MALEJOANE</t>
  </si>
  <si>
    <t>262529 - PATRICIA NORMA JOHANSON</t>
  </si>
  <si>
    <t>262536 - TRACY ROBYNE GLADWIN</t>
  </si>
  <si>
    <t>67701 -  AGCN</t>
  </si>
  <si>
    <t>262537 - DELISILE ANNASTASIA MBHELE</t>
  </si>
  <si>
    <t>67791 -  COMMERCIAL NELSPRUIT</t>
  </si>
  <si>
    <t>262543 - CARLI BOTHA</t>
  </si>
  <si>
    <t>262558 - PALESA SEAROGANYE JUSTINA MASIZA</t>
  </si>
  <si>
    <t>262582 - SHADI FLORENCE MASHITA</t>
  </si>
  <si>
    <t>262583 - LOLA BERNADINE VAN DER MERWE</t>
  </si>
  <si>
    <t>262624 - FRANCOIS JOHANNES DU TOIT</t>
  </si>
  <si>
    <t>262627 - ELSIE KABINI</t>
  </si>
  <si>
    <t>262631 - BOITUMELO EVELYN EPHENIA LEBESE</t>
  </si>
  <si>
    <t>262632 - REAMOGETSWE THABILE PLEASURE LETLAPE</t>
  </si>
  <si>
    <t>262661 - MPHO ADOLPH SHIBAMBO</t>
  </si>
  <si>
    <t>262662 - OLBY SEWISHA MASILO</t>
  </si>
  <si>
    <t>262666 - MAJORIE CECELIA GEORGE</t>
  </si>
  <si>
    <t>262697 - KARABO SEKHOTHE</t>
  </si>
  <si>
    <t>262698 - DEBRA RUTH PHILLIPS</t>
  </si>
  <si>
    <t>262700 - MOLATELA ROSINAH LEKGANYANE</t>
  </si>
  <si>
    <t>262701 - KUDZAI KHOSA NDHLAU</t>
  </si>
  <si>
    <t>262706 - EMMANUEL MUTAVHATSINDI</t>
  </si>
  <si>
    <t>262748 - HERMAN JOHN SERFONTEIN</t>
  </si>
  <si>
    <t>262758 - GURSHAN GARETH OVERMEYER</t>
  </si>
  <si>
    <t>262770 - LEBOGANG MATHABATHA</t>
  </si>
  <si>
    <t>262801 - NOELLE LOUISE HARRIS</t>
  </si>
  <si>
    <t>262802 - SIFISO KHUBONI</t>
  </si>
  <si>
    <t>262819 - MIMIKA COETZER</t>
  </si>
  <si>
    <t>262821 - ROBIN JAMES PARFITT</t>
  </si>
  <si>
    <t>262826 - RENELLE BREYTENBACH</t>
  </si>
  <si>
    <t>262831 - JEANETTE HEBRON</t>
  </si>
  <si>
    <t>262844 - ROLANDA VAN WYK</t>
  </si>
  <si>
    <t>262845 - CHRISTI VAN ROOYEN</t>
  </si>
  <si>
    <t>262852 - MAGDALENE ELIZABETH FOURIE</t>
  </si>
  <si>
    <t>262864 - KATHERINE ABIGAIL SAMUEL</t>
  </si>
  <si>
    <t>262883 - MICHAEL VITERENWA</t>
  </si>
  <si>
    <t>262887 - NKOSINATHI KONE</t>
  </si>
  <si>
    <t>262888 - PARISHA NAIDOO</t>
  </si>
  <si>
    <t>67925 -  OPERATIONS</t>
  </si>
  <si>
    <t>262896 - JAMIE DEE HODGES</t>
  </si>
  <si>
    <t>262897 - LYNN DAVIDS</t>
  </si>
  <si>
    <t>262898 - MARIETHA ROETZ</t>
  </si>
  <si>
    <t>262899 - WYNAND FREDERICK BEZUIDENHOUT</t>
  </si>
  <si>
    <t>262921 - JAN ADRIAN GROBBELAAR</t>
  </si>
  <si>
    <t>262922 - MAGRIETHA ELIZABETH SMITH</t>
  </si>
  <si>
    <t>262924 - PAMELA ANN COLLINS</t>
  </si>
  <si>
    <t>262938 - JOSEPH MDHLULI</t>
  </si>
  <si>
    <t>262939 - QUINTIN VAN DEVENTER</t>
  </si>
  <si>
    <t>262940 - SHUNTELL SONIA MORE</t>
  </si>
  <si>
    <t>262943 - KWAZIKWENKOSI DUBE</t>
  </si>
  <si>
    <t>262953 - ANDREW RABVUKWA</t>
  </si>
  <si>
    <t>262967 - SIPHO CYRIL MBOKAZI</t>
  </si>
  <si>
    <t>262975 - JOLANDé DE BEER</t>
  </si>
  <si>
    <t>262976 - MAUREEN DORNAM</t>
  </si>
  <si>
    <t>263022 - MAVUNDLA JOHN ZANE MHLAMBI</t>
  </si>
  <si>
    <t>263024 - NOMPUMELELO INNOCENTIA TSHABALALA</t>
  </si>
  <si>
    <t>263029 - SEAN RICHARD DE MATOS-ALA</t>
  </si>
  <si>
    <t>263037 - JUSTINE KURT RUSSELL</t>
  </si>
  <si>
    <t>263056 - NATASHA COETZEE</t>
  </si>
  <si>
    <t>263084 - RAESIBE DLAMINI</t>
  </si>
  <si>
    <t>263087 - PABALELO THEOPHILLUS MAROPE</t>
  </si>
  <si>
    <t>263088 - JAN SELOADI</t>
  </si>
  <si>
    <t>263090 - JILLIAN VENKANNAH</t>
  </si>
  <si>
    <t>263091 - FLORENCE S BONGILE NCALO</t>
  </si>
  <si>
    <t>263092 - NICHOLAS MASHEGO</t>
  </si>
  <si>
    <t>263093 - KAMOGELO NATASHA MASALESA</t>
  </si>
  <si>
    <t>263094 - NHLAMULO JUDITH MALULEKE</t>
  </si>
  <si>
    <t>263095 - GEROLD NKOSINATHI MPUNGUTYE</t>
  </si>
  <si>
    <t>263096 - PHINDILE PEARL MTHEMBU</t>
  </si>
  <si>
    <t>263098 - SIBUSISO BANNY KHANYE</t>
  </si>
  <si>
    <t>263101 - FHANDEKANANI CHRISTOPHER MAGILEDZHI</t>
  </si>
  <si>
    <t>263102 - SHIMANE RAMATJA</t>
  </si>
  <si>
    <t>263104 - ROFHIWA MAGADANI</t>
  </si>
  <si>
    <t>263105 - MALEKAADUTJE MORRIS MAAKE</t>
  </si>
  <si>
    <t>263108 - ZANDILE ROSE MABASO</t>
  </si>
  <si>
    <t>263109 - JANUARY SAM LESESA</t>
  </si>
  <si>
    <t>263110 - JABULANI FRANS CHABALALA</t>
  </si>
  <si>
    <t>263111 - ITUMELENG MOLAPO</t>
  </si>
  <si>
    <t>263112 - NARE MORAKA SETHOSA</t>
  </si>
  <si>
    <t>263117 - MKHOSI SIPHO NKOSI</t>
  </si>
  <si>
    <t>263118 - THEMBEKILE EUNICE DHLAMINI</t>
  </si>
  <si>
    <t>263119 - LETLHOGONOLO FORTUNATE MABIDIKAMA</t>
  </si>
  <si>
    <t>263125 - MARLENE BASETSANA TSITSI</t>
  </si>
  <si>
    <t>263128 - LETLHOGONOLO LORANCE MAMOGOPODI</t>
  </si>
  <si>
    <t>263129 - GOITSEONA RAPOO</t>
  </si>
  <si>
    <t>263130 - MMATSOGO EDITH KGOKONG</t>
  </si>
  <si>
    <t>263134 - THEODORE WARREN HILL</t>
  </si>
  <si>
    <t>263149 - NQOBILE PRUDENCE SIBONGILE THOMO</t>
  </si>
  <si>
    <t>263150 - WADE JUSTIN FROST</t>
  </si>
  <si>
    <t>263153 - MONICA BOITUMELO MELETSI</t>
  </si>
  <si>
    <t>263160 - ALFRED LESETJA MASIBI</t>
  </si>
  <si>
    <t>263168 - CARYN VENETIA JOHNSON</t>
  </si>
  <si>
    <t>263169 - ANUSHA REDDY</t>
  </si>
  <si>
    <t>263171 - MOKALE JACOB RAKOLOTI</t>
  </si>
  <si>
    <t>263172 - TAFADZWA MASIYANDIMA</t>
  </si>
  <si>
    <t>263174 - VENETIA AURELIA NAIDU</t>
  </si>
  <si>
    <t>263175 - RYAN JOHN NAVEN</t>
  </si>
  <si>
    <t>263185 - ZAMANTUNGWA GUGULETHU MTHALANE</t>
  </si>
  <si>
    <t>263191 - DEBRA THERESA SOLOMONS</t>
  </si>
  <si>
    <t>263194 - ZUKISWA MABENA</t>
  </si>
  <si>
    <t>263214 - KIM SARAH JONES</t>
  </si>
  <si>
    <t>263223 - BONGANI ACE PHAKATHI</t>
  </si>
  <si>
    <t>263224 - NONZWAKAZI TWALO</t>
  </si>
  <si>
    <r>
      <t xml:space="preserve">263226 - PAMELA LEIGH </t>
    </r>
    <r>
      <rPr>
        <sz val="8"/>
        <color rgb="FF000099"/>
        <rFont val="Calibri"/>
        <family val="2"/>
        <scheme val="minor"/>
      </rPr>
      <t>KURUBALLY</t>
    </r>
  </si>
  <si>
    <t>263227 - GRACE MATABIRE MUTUNGAMA</t>
  </si>
  <si>
    <t>263237 - TAMERYN VAN ASWEGEN</t>
  </si>
  <si>
    <t>263239 - MOGAMAT RASHAAD LEGGETT</t>
  </si>
  <si>
    <t>263244 - ARONA SUZAN JORDAAN</t>
  </si>
  <si>
    <t>263267 - CHANTAL HATTINGH</t>
  </si>
  <si>
    <t>263269 - AMANDA NOMBULELO NGCONGO</t>
  </si>
  <si>
    <t>263273 - PETER STEENFELDT-KRISTENSEN</t>
  </si>
  <si>
    <t>263278 - FULUFHELO SYDNEY DAVHANA</t>
  </si>
  <si>
    <t>263282 - RENé VAN SCHALKWYK</t>
  </si>
  <si>
    <t>67769 -  RISK ADVISORY</t>
  </si>
  <si>
    <t>263293 - FULVIA MATABANE</t>
  </si>
  <si>
    <t>263294 - MAGDA KENDALL</t>
  </si>
  <si>
    <t>263311 - MARIO ROY VAN DER MERWE</t>
  </si>
  <si>
    <t>263317 - TAMAREEN MINTY MERSICH</t>
  </si>
  <si>
    <t>263338 - MARYN PRINSLOO</t>
  </si>
  <si>
    <t>263339 - JUDY MURIEL BATH</t>
  </si>
  <si>
    <t>263378 - NADIA SHEETAL SHIBA</t>
  </si>
  <si>
    <t>263391 - CELESTE NEL</t>
  </si>
  <si>
    <t>263399 - CHANRI HITGE</t>
  </si>
  <si>
    <t>263432 - NALISHA PILLAY</t>
  </si>
  <si>
    <t>263445 - NONTOMBI JANE NCOTHOLOZI</t>
  </si>
  <si>
    <t>263446 - SIZWE DEON MTHEMBU</t>
  </si>
  <si>
    <t>263448 - THEBEITSILE MAAKE</t>
  </si>
  <si>
    <t>263449 - THIZWILONDI TEDDY MUNYAI</t>
  </si>
  <si>
    <t>263450 - ASHANTE SEKUBA</t>
  </si>
  <si>
    <t>263451 - NASTASSIA DARIKA RAMMBLE</t>
  </si>
  <si>
    <t>263452 - AMY-THERESA HUNTER DU TOIT</t>
  </si>
  <si>
    <t>263453 - SALANG ABRAM SIBANDA</t>
  </si>
  <si>
    <t>263454 - VUYOLWETHU ANNA TSHONISILE</t>
  </si>
  <si>
    <t>263455 - TSHEPANG SHARLENE MKHONTO</t>
  </si>
  <si>
    <t>263456 - RASHMIKA MAHARAJ</t>
  </si>
  <si>
    <t>263457 - MPHO RUTH SIBEKO</t>
  </si>
  <si>
    <t>263458 - KATISO MADUMISI</t>
  </si>
  <si>
    <t>263459 - REMIND RENDANI MUDAU</t>
  </si>
  <si>
    <t>263460 - WAYLENE ANGELIQUE LOUW</t>
  </si>
  <si>
    <t>263467 - LESEGO KALANKO</t>
  </si>
  <si>
    <t>263474 - BONGANI BRIGHT MNGOMEZULU</t>
  </si>
  <si>
    <t>263483 - JACQUES JAMES STAHL</t>
  </si>
  <si>
    <t>67777 -  CLAIMS</t>
  </si>
  <si>
    <t>263484 - KHOLOFELO MAYKEN MABALA</t>
  </si>
  <si>
    <t>263492 - SAMANTHA JANE BALESON</t>
  </si>
  <si>
    <t>263510 - NELGA STEWART</t>
  </si>
  <si>
    <t>263518 - HESTER JOHANNA PELSER</t>
  </si>
  <si>
    <t>263519 - ELYSIA LILIAN MILLS</t>
  </si>
  <si>
    <t>263541 - NISHANI GOVENDER</t>
  </si>
  <si>
    <t>263546 - ZENDA-LEE STRYDOM</t>
  </si>
  <si>
    <t>263547 - SOMILA MNGCETE</t>
  </si>
  <si>
    <t>263553 - SUZELL VAN SOELEN</t>
  </si>
  <si>
    <t>263575 - JASON MARK RIBEIRO</t>
  </si>
  <si>
    <t>263589 - LUCILLE FRANCOIS KELLY</t>
  </si>
  <si>
    <t>263590 - YOLANDIE HARTMANN</t>
  </si>
  <si>
    <t>263591 - CALLY-CLAIRE NAUDé</t>
  </si>
  <si>
    <t>263605 - RENé DU PLESSIS</t>
  </si>
  <si>
    <t>263615 - LETICIA NATASHA JORDAAN</t>
  </si>
  <si>
    <t>263623 - ELIZABETH CATHERINA VAN DEN HEEVER</t>
  </si>
  <si>
    <t>263626 - MARIëTHA ROETZ</t>
  </si>
  <si>
    <t>263628 - WENDY PAULINE FOURIE</t>
  </si>
  <si>
    <t>263634 - CANDICE CARMELITA FORTUIN</t>
  </si>
  <si>
    <t>263635 - TREVOR LIEBENBERG</t>
  </si>
  <si>
    <t>263639 - ADELE ROBERTS</t>
  </si>
  <si>
    <t>263640 - SIBUSISO CYPRIAN MNGOMEZULU</t>
  </si>
  <si>
    <t>263641 - PHINDILE SHONGWE</t>
  </si>
  <si>
    <t>263642 - IRENE RAISIBE MASHISHI</t>
  </si>
  <si>
    <t>263643 - WELCOME MASHEGO</t>
  </si>
  <si>
    <t>263645 - NOMBUSO SIBEKO</t>
  </si>
  <si>
    <t>263647 - SELMA NGWANGWA</t>
  </si>
  <si>
    <t>263648 - YVONNE PRUSENT</t>
  </si>
  <si>
    <t>263649 - MBUKELENG WINFRIEDA NDHLOVU</t>
  </si>
  <si>
    <t>263650 - PHINDILE PETRONELLA NCUBE</t>
  </si>
  <si>
    <t>263651 - RETHABILE REJOYCE MOKOENA</t>
  </si>
  <si>
    <t>263652 - KYLE BRYSON SAMUEL</t>
  </si>
  <si>
    <t>263653 - NEO MOLEFE MOSUE</t>
  </si>
  <si>
    <t>263654 - NOMVUYO SITSHONI</t>
  </si>
  <si>
    <t>263655 - ADELAID NHLANHLENHLE NGULUBE</t>
  </si>
  <si>
    <t>263656 - THEMBALIHLE HOPEWELL MAQUNGO</t>
  </si>
  <si>
    <t>263657 - MUKHUVHA ELIAS MUTALI</t>
  </si>
  <si>
    <t>263658 - SIPHIWE THOMO</t>
  </si>
  <si>
    <t>263661 - MPHO MONYELA</t>
  </si>
  <si>
    <t>263663 - CONWYN RUSSELL</t>
  </si>
  <si>
    <t>263666 - SHAIETSA GATEE</t>
  </si>
  <si>
    <t>263667 - WASIM JASSAT</t>
  </si>
  <si>
    <t>263668 - TRISHALYA PURMASIR</t>
  </si>
  <si>
    <t>263670 - NKHENSANI KHOZA</t>
  </si>
  <si>
    <t>263671 - NTOMBIZODWA MAVIS ZULU</t>
  </si>
  <si>
    <t>67927 - TRAINING</t>
  </si>
  <si>
    <t>263680 - KATLEGO FORTUNATE KWAKWA</t>
  </si>
  <si>
    <t>263683 - WESLY FLEISCHER</t>
  </si>
  <si>
    <t>263691 - JEAN-PIERRé WEYERS</t>
  </si>
  <si>
    <t>263692 - TRISTAN ANUZKA DOUGLAS</t>
  </si>
  <si>
    <t>263695 - ALGITA MILLS</t>
  </si>
  <si>
    <t>67938 -  BROKING</t>
  </si>
  <si>
    <t>263698 - DAVID IAN DONALD LEGG</t>
  </si>
  <si>
    <t>263699 - MARLENE CHARMAINE ARGENT</t>
  </si>
  <si>
    <t>263704 - BENJAMIN WILLIAM TONKIN</t>
  </si>
  <si>
    <t>67933 -  BRANCH OPS PORT ELIZABETH</t>
  </si>
  <si>
    <t>263715 - SUSANNA CATHARINE BESTER</t>
  </si>
  <si>
    <t>263716 - THABISO HARRISON MOITSI</t>
  </si>
  <si>
    <t>263717 - CHRIS JONK</t>
  </si>
  <si>
    <t>263718 - MONO EMILY SEPTEMBER</t>
  </si>
  <si>
    <t>263734 - JOHAN BERNARDUS EKSTEEN</t>
  </si>
  <si>
    <t>263735 - DEBRA LOUISE DELISE</t>
  </si>
  <si>
    <t>263739 - ARMAND NIEHAUS</t>
  </si>
  <si>
    <t>304 - ADELE DENISE WENTZEL</t>
  </si>
  <si>
    <t>306 - ZIZI LERATO</t>
  </si>
  <si>
    <t>67761 - CLAIMS - MANAGEMENT</t>
  </si>
  <si>
    <t>306 - FLOORS BRAND</t>
  </si>
  <si>
    <t>30841 - STEVEN BRUCE CRAEMER</t>
  </si>
  <si>
    <t>31701 - CHANTALL PRETORIUS</t>
  </si>
  <si>
    <t>376 - SAMUEL LEBOGANG LONAKE</t>
  </si>
  <si>
    <t>396 - CATHARINE HYDE</t>
  </si>
  <si>
    <t>40101 - KATHLEEN CELIA DAINES</t>
  </si>
  <si>
    <t>40502 - JEAN JACOBUS DE BEER</t>
  </si>
  <si>
    <t>40511 - CAREY LEA DEYSEL</t>
  </si>
  <si>
    <t>40512 - TRUDY MILDRED HOUGH</t>
  </si>
  <si>
    <t>40563 - IVOR HOBBS DAVIS</t>
  </si>
  <si>
    <t>458 - LESLEY JANE BIRCH</t>
  </si>
  <si>
    <t>50290 - ANN ELIZABETH BERTELSMANN</t>
  </si>
  <si>
    <t>50293 - MICHAEL ALLEN DE ROOS</t>
  </si>
  <si>
    <t>504 - PAUL CHRISTOPHER NANSON</t>
  </si>
  <si>
    <t>50494 - TERENCE GRAHAM BOTHA</t>
  </si>
  <si>
    <t>50495 - MICHELE CRONJE</t>
  </si>
  <si>
    <t>50499 - LYNETTE MARI HUMAN</t>
  </si>
  <si>
    <t>50500 - ROSLYN LEE LATEGAN</t>
  </si>
  <si>
    <t>50506 - DALINA JOHANNA YOUNG</t>
  </si>
  <si>
    <t>50514 - GLADYS THANDENI DUBE</t>
  </si>
  <si>
    <t>50524 - CAROLE ANNE MAZZONI</t>
  </si>
  <si>
    <t>50555 - STEPHEN MOGOMOTSI PELLE</t>
  </si>
  <si>
    <t>50569 - ANNA MARIE MATILDA SNYMAN</t>
  </si>
  <si>
    <t>50571 - BELINDA LEE VIVIERS</t>
  </si>
  <si>
    <t>50574 - JENNIFER LEE DE VRIES</t>
  </si>
  <si>
    <t>50576 - SHERAE KREUSCH</t>
  </si>
  <si>
    <t>50580 - JOHN ANTHONY QUINN</t>
  </si>
  <si>
    <t>50582 - NOELENE MARGARET STUART-WILLIAMS</t>
  </si>
  <si>
    <t>50584 - SANDRA LYNETTE WARNE</t>
  </si>
  <si>
    <t>50605 - GLORIA ANN JACOBUS</t>
  </si>
  <si>
    <t>50630 - NICHOLAS PETER SYMONS</t>
  </si>
  <si>
    <t>50718 - HEATHER DEANNA KIRKWOOD</t>
  </si>
  <si>
    <t>50843 - POPPY MEISIE MAHLANGU</t>
  </si>
  <si>
    <t>50879 - KGADIKA SOPHONIA LEFOKA</t>
  </si>
  <si>
    <t>50901 - NOKUTHULA REJOYCE MHLANGA</t>
  </si>
  <si>
    <r>
      <t xml:space="preserve">51019 - AMINA </t>
    </r>
    <r>
      <rPr>
        <sz val="8"/>
        <color rgb="FF3333ff"/>
        <rFont val="Calibri"/>
        <family val="2"/>
        <scheme val="minor"/>
      </rPr>
      <t>HENDRICKS</t>
    </r>
  </si>
  <si>
    <t>51051 - RUSSELL LOUIS DAVIS</t>
  </si>
  <si>
    <t>51056 - LETISHA VAN RHYN</t>
  </si>
  <si>
    <t>51082 - HESTER MILNE DENYSSCHEN</t>
  </si>
  <si>
    <t>51083 - LINDA LOUISA BARNARD</t>
  </si>
  <si>
    <t>51165 - GAYLE MARIA KEYS</t>
  </si>
  <si>
    <t>51169 - NADINE CHANTAL BARNES</t>
  </si>
  <si>
    <t>51323 - PRABHA SOMA</t>
  </si>
  <si>
    <t>51356 - ABRAHAM SITHOLE</t>
  </si>
  <si>
    <t>51422 - WOLFGANG KITTEL</t>
  </si>
  <si>
    <t>51438 - ENID GAIL UITHALER</t>
  </si>
  <si>
    <t>51479 - JESSICA WIGGELL</t>
  </si>
  <si>
    <t>51503 - CECILIA ANNA MARITZ</t>
  </si>
  <si>
    <t>51573 - CYLANDIA ELIZABETH COETZEE</t>
  </si>
  <si>
    <t>52000 - DANI HEATHER ETTRIDGE</t>
  </si>
  <si>
    <t>52138 - ANDREA LAWLOR</t>
  </si>
  <si>
    <t>52159 - JOHANNA CHRISTINA STRYDOM</t>
  </si>
  <si>
    <t>52198 - MARTIN BITHELL</t>
  </si>
  <si>
    <t>676 - NALINI SINGH</t>
  </si>
  <si>
    <t>70038 - DENISE RICHARDS</t>
  </si>
  <si>
    <t>70051 - MALCOLM EVAN PADAYACHEE</t>
  </si>
  <si>
    <t>70331 - SUSAN RIVA</t>
  </si>
  <si>
    <t>70410 - MATAWANA DIANA MAPHUTA</t>
  </si>
  <si>
    <t>70428 - GEORGINA NONKWALAMBISA JOTINA</t>
  </si>
  <si>
    <t>70547 - JENNY JOOSTE</t>
  </si>
  <si>
    <t>71069 - ZODWA MBATHA</t>
  </si>
  <si>
    <t>71127 - JONATHAN LAW</t>
  </si>
  <si>
    <t>71133 - WILHELM VAN ASWEGEN</t>
  </si>
  <si>
    <t>71154 - EVELYN DE BRAINE</t>
  </si>
  <si>
    <t>71269 - MPHO MESHACK MAISHA</t>
  </si>
  <si>
    <t>71362 - IRENE ABRAHAMS</t>
  </si>
  <si>
    <t>71386 - LYNN O REILLY</t>
  </si>
  <si>
    <t>71418 - ANGELIQUE VERHOOG</t>
  </si>
  <si>
    <t>71449 - CINDY LISLE VAN HEERDEN</t>
  </si>
  <si>
    <t>71523 - DAWN NAVEN</t>
  </si>
  <si>
    <t>71577 - HANIFFAH BUSISIWE MBELA</t>
  </si>
  <si>
    <t>71649 - BUTI STEWART MASHILWANE</t>
  </si>
  <si>
    <t>71684 - LYNN BONNER</t>
  </si>
  <si>
    <t>67757 -  CORPORATE PORT ELIZABETH</t>
  </si>
  <si>
    <t>71688 - ERIKA HAYWARD</t>
  </si>
  <si>
    <t>71690 - SUSANNA MARIA WEYERS</t>
  </si>
  <si>
    <t>71692 - DEBBIE DAVIES</t>
  </si>
  <si>
    <t>71693 - ANDREW PAUL AUBIN</t>
  </si>
  <si>
    <t>71694 - STACEY LEE POWELL</t>
  </si>
  <si>
    <t>71735 - JACOBUS GERHARDUS JOHANNES PRETORIUS</t>
  </si>
  <si>
    <t>71781 - REINETTE CROMHOUT</t>
  </si>
  <si>
    <t>71782 - MMOKGO PATRICIA MOTSEPE</t>
  </si>
  <si>
    <t>71846 - CORDIAL NDHLOVU</t>
  </si>
  <si>
    <t>71879 - MARUBINI HAPPY MADILONGA</t>
  </si>
  <si>
    <t>71899 - MARIA MAGDALENA BOOM</t>
  </si>
  <si>
    <t>71914 - COLLEEN BENSON</t>
  </si>
  <si>
    <t>73162 - MARGARET SEBELE</t>
  </si>
  <si>
    <t>75009 - THRUSHINIE NAIDOO</t>
  </si>
  <si>
    <t>75067 - OMAR BUX</t>
  </si>
  <si>
    <t>75095 - LYNETTE DEIDRE ADAMS</t>
  </si>
  <si>
    <t>75098 - PHILANI YENDE</t>
  </si>
  <si>
    <t>75124 - SANDRA JABOUR</t>
  </si>
  <si>
    <t>75140 - PAUL HANSEN</t>
  </si>
  <si>
    <t>75176 - CHARLOTTE MHLANGA</t>
  </si>
  <si>
    <t>75214 - SEPHIWE SIDWELL TOLOM</t>
  </si>
  <si>
    <t>75264 - VICTOR PILLAY</t>
  </si>
  <si>
    <t>75271 - GEVIN PETER LE ROUX</t>
  </si>
  <si>
    <t>75273 - ZAI ZARA ALLY</t>
  </si>
  <si>
    <t>75322 - ALAN RICHARD PATRICK SHADDOCK</t>
  </si>
  <si>
    <t>75351 - ALAMEIN JEFFRY BUTT</t>
  </si>
  <si>
    <t>75374 - SIBONISIWE MASWAZI NXUMALO</t>
  </si>
  <si>
    <t>75379 - SIVAPRAKASH NAIDOO</t>
  </si>
  <si>
    <t>75381 - SEELAN SUNMOGAM CHETTY</t>
  </si>
  <si>
    <t>75416 - PIETER RUDOLPH ALFRED NEL</t>
  </si>
  <si>
    <t>75471 - THOMAS MARK HARBAN</t>
  </si>
  <si>
    <t>75478 - CLAYTON ELLARY</t>
  </si>
  <si>
    <t>75533 - SUSAN ANGELA DURANT</t>
  </si>
  <si>
    <t>75536 - NOKWEZI ESTERE PINKY MIZA</t>
  </si>
  <si>
    <t>75545 - PAUL DICKSON</t>
  </si>
  <si>
    <t>75569 - RODERICK SMITH</t>
  </si>
  <si>
    <t>75583 - NOLA MANDY MARX</t>
  </si>
  <si>
    <t>75597 - NEO OREPHAH THOKA</t>
  </si>
  <si>
    <t>75606 - NOLITHA MBAMBO</t>
  </si>
  <si>
    <t>75649 - NONJABULO NONDUMISO SIBISI</t>
  </si>
  <si>
    <t>75726 - LELANIE VAN DER WALT</t>
  </si>
  <si>
    <t>75731 - PETRONELLA JOHANNA SUSANNA ERASMUS</t>
  </si>
  <si>
    <t>75738 - MARGARET JEAN PETZER</t>
  </si>
  <si>
    <t>75748 - GARETH WILLIAMS</t>
  </si>
  <si>
    <t>75762 - COLLEEN PHILOMENA CRESSWELL</t>
  </si>
  <si>
    <t>75768 - DEBBIE HELEN SCHOOMBEE</t>
  </si>
  <si>
    <t>75787 - ALICIA GOOSEN</t>
  </si>
  <si>
    <t>75802 - KOENA PATRICIA MASEBE</t>
  </si>
  <si>
    <t>75803 - TAKALANI HAPPINESS GODIBO</t>
  </si>
  <si>
    <t>75808 - JANILE CLAUDINE LYRAS</t>
  </si>
  <si>
    <t>75839 - TRUST NHIRA</t>
  </si>
  <si>
    <t>75848 - ANTOINETTE BEETGE</t>
  </si>
  <si>
    <t>75849 - ZELDA OLIVIER</t>
  </si>
  <si>
    <t>81 - VERONICA LOUISE THOMPSON</t>
  </si>
  <si>
    <t>82136 - LIEZEL HESTER HOWARD</t>
  </si>
  <si>
    <t>82142 - GERTRUIDA PETERNELLA GRANGER</t>
  </si>
  <si>
    <t>856 - ELIZABETH LOMADLOZI SAMBO</t>
  </si>
  <si>
    <t>91008 - ERIC EDWARD OXFORD</t>
  </si>
  <si>
    <t>9110904 - JOHANNES JACOBUS KITSHOFF</t>
  </si>
  <si>
    <t>912475 - WILLEM RAUBENHEIMER</t>
  </si>
  <si>
    <t>9190111 - LUCIA ANTOINETTE SCHENK</t>
  </si>
  <si>
    <t>952001 - MICHELLE ENGELBRECHT</t>
  </si>
  <si>
    <t>985 - MASOTSHA ALFRED MUSANDIWA</t>
  </si>
  <si>
    <t>986 - WINNIE DIKELEDI NTINI</t>
  </si>
  <si>
    <t>JOHAN BENCE</t>
  </si>
  <si>
    <t>70122 - GERALD NICLO GORDON</t>
  </si>
  <si>
    <t>190181 - ROSHAYNE CARMEL SMITH</t>
  </si>
  <si>
    <t>263587 - ESTHER VENTER</t>
  </si>
  <si>
    <t>263086 - ESTHER VENTER</t>
  </si>
  <si>
    <t>70756 - LESLEY BOTHA</t>
  </si>
  <si>
    <t>263430 - LESLEY BOTHA</t>
  </si>
  <si>
    <t>263133 - RAEESAH VAN DER WESTHUIZEN</t>
  </si>
  <si>
    <t>263478 - RAEESAH VAN DER WESTHUIZEN</t>
  </si>
  <si>
    <t>262760 - SEAN LESEGO CHILOANE</t>
  </si>
  <si>
    <t>263517 - SEAN LESEGO CHILOANE</t>
  </si>
  <si>
    <t>262679 - LIRESE WEBB</t>
  </si>
  <si>
    <t>263659 - LIRESE WEBB</t>
  </si>
  <si>
    <t>263462 - SIVUYILE MHATU</t>
  </si>
  <si>
    <t>263660 - SIVUYILE MHATU</t>
  </si>
  <si>
    <t>67745 -  AVIATION</t>
  </si>
  <si>
    <t>262486 - ANNE SHIRLEY MEADOWS</t>
  </si>
  <si>
    <t>263662 - ANNE SHIRLEY MEADOWS</t>
  </si>
  <si>
    <t>263154 - MAMPHO DINAH MOEKETSI</t>
  </si>
  <si>
    <t>263664 - MAMPHO DINAH MOEKETSI</t>
  </si>
  <si>
    <t>263465 - MUHAMMAD IRFAAN SULIMAN</t>
  </si>
  <si>
    <t>263665 - MUHAMMAD IRFAAN SULIMAN</t>
  </si>
  <si>
    <t>263476 - NOMTA ZOTE</t>
  </si>
  <si>
    <t>263669 - NOMTA ZOTE</t>
  </si>
  <si>
    <t>50585 - ROGER GEOFFREY WILLIAMS</t>
  </si>
  <si>
    <t>263679 - ROGER GEOFFREY WILLIAMS</t>
  </si>
  <si>
    <t>67928 -  TECHNICAL SUPPORT</t>
  </si>
  <si>
    <t>263440 - DENIS GOODWIN</t>
  </si>
  <si>
    <t>263693 - DENIS GOODWIN</t>
  </si>
  <si>
    <t>306 - LEHLOHONOLO LEPHOTO</t>
  </si>
  <si>
    <t>263723 - LEHLOHONOLO LEPHOTO</t>
  </si>
  <si>
    <t>70936 - THANDISWA CATHERINE KELEMBE</t>
  </si>
  <si>
    <t>263730 - THANDISWA CATHERINE KELEMBE</t>
  </si>
  <si>
    <t>113003 - MARLENE KATHLEEN KOCK</t>
  </si>
  <si>
    <t>67741 - CLAIMS - SPECIALTY</t>
  </si>
  <si>
    <t>113011 - BEATRIES KOKOTA</t>
  </si>
  <si>
    <t>113040 - POOVANASEN KRISHNAN</t>
  </si>
  <si>
    <t>11413 - CHANTELLE SUSAN ALLEN</t>
  </si>
  <si>
    <t>11417 - LADENE ADENDORFF</t>
  </si>
  <si>
    <t>120536 - CHARLOTTE ANTOINETTE ROSSOUW</t>
  </si>
  <si>
    <t>120537 - MOTSHWANE  CATHERINE LOBEGA</t>
  </si>
  <si>
    <t>NET EMPLOYEE TRANSFERS '16</t>
  </si>
  <si>
    <t>121503 - WILLIAM JOHN ANDREW LOUW</t>
  </si>
  <si>
    <t>130216 - SOKA JULIUS MALEVU</t>
  </si>
  <si>
    <t>130224 - JOSEPHINE MAMETSI MAHLOKO</t>
  </si>
  <si>
    <t>1375 - COLLEEN CORLETT</t>
  </si>
  <si>
    <t>1549 - KIM JODY OOSTHUIZEN</t>
  </si>
  <si>
    <t>160912 - LILITHA PADAYACHY</t>
  </si>
  <si>
    <t>160920 - SHIVIEN PILLAY</t>
  </si>
  <si>
    <t>180110 - GENIUS NTSHOARELENG RAMAHALI</t>
  </si>
  <si>
    <t>181511 - ADALIZA CATHARINA REBELO</t>
  </si>
  <si>
    <t>181530 - DAPHNE REFILOE RAMAROU</t>
  </si>
  <si>
    <t>190114 - PATIENCE NOMONDE SITSHONI</t>
  </si>
  <si>
    <t>67753 -  CORPORATE BLOEMFONTEIN</t>
  </si>
  <si>
    <t>190116 - JOHANNA HELENA SWARTZ</t>
  </si>
  <si>
    <t>190123 - JOHANNA ALIDA SCHMIDT</t>
  </si>
  <si>
    <t>190146 - ALLEN ERNEST SNYMAN</t>
  </si>
  <si>
    <t>200134 - ZANELE DINTWA</t>
  </si>
  <si>
    <t>200142 - CARMEN TISSANG</t>
  </si>
  <si>
    <t>67759 - CLAIMS - OTHER</t>
  </si>
  <si>
    <t>20130 - LINDA ROWE</t>
  </si>
  <si>
    <t>20133 - NOMBULELO DOROTHY BUKHOSINI</t>
  </si>
  <si>
    <t>20137 - LAUREN ODETTE BLOM</t>
  </si>
  <si>
    <t>201502 - LEONARD JOHN TOUCHER</t>
  </si>
  <si>
    <t>220113 - RIAN VAN DYK</t>
  </si>
  <si>
    <t>2393 - KAMLA SOMARU</t>
  </si>
  <si>
    <t>262312 - PAULINE SARAH SENTHUMULE</t>
  </si>
  <si>
    <t>262346 - PRECIOUS THOBILE SHONGWE</t>
  </si>
  <si>
    <t>262357 - ZINHLE OLGA MATHEBULA</t>
  </si>
  <si>
    <t>262370 - SIPHAMANDLA RADEBE</t>
  </si>
  <si>
    <t>262387 - RENDANI VINCENT MULAUDZI</t>
  </si>
  <si>
    <t>67992 -  D&amp;O AND CASUALTY</t>
  </si>
  <si>
    <t>262390 - KITI SYDWELL LEDWABA</t>
  </si>
  <si>
    <t>262411 - BAGGIO TEBOHO MOKOENA</t>
  </si>
  <si>
    <t>262432 - MAGRIETHA ELIZABETH BOTHA</t>
  </si>
  <si>
    <t>262433 - KATHLEEN MARIE-LOUISE DAVIS</t>
  </si>
  <si>
    <t>262443 - GLORIA PHINDULO MUTHIVHI</t>
  </si>
  <si>
    <t>262485 - ILSé ARLENE SPIES</t>
  </si>
  <si>
    <t>262520 - MICHELLE CARMEN ALLISON RODRIGUES</t>
  </si>
  <si>
    <t>262545 - ROBERTUS PETRUS RYKENBERG</t>
  </si>
  <si>
    <t>262574 - KHANYILE SITYATA</t>
  </si>
  <si>
    <t>262577 - CHARLES RICHARD ROPER</t>
  </si>
  <si>
    <t>262578 - TAFADZWA BLESSING JURU NYAKUDYA</t>
  </si>
  <si>
    <t>262635 - KHOMOTSO RACHEL SETSHEDI</t>
  </si>
  <si>
    <t>262644 - SIBUSISO LUCAS MAGASELA</t>
  </si>
  <si>
    <t>262659 - ZAMANI NGIDI</t>
  </si>
  <si>
    <t>262667 - MELISSE VAN HEERDEN</t>
  </si>
  <si>
    <t>262671 - IGNATIOUS THABANG MFEKA</t>
  </si>
  <si>
    <t>262677 - LANGALIPHUMILE SIGODI</t>
  </si>
  <si>
    <t>262682 - MARLON LEONARD DANIELS</t>
  </si>
  <si>
    <t>262685 - NOSIPHO MEMELA</t>
  </si>
  <si>
    <t>262703 - FAITH MASEGO PULE</t>
  </si>
  <si>
    <t>262743 - MALEHLOHONOLO BAWELA</t>
  </si>
  <si>
    <t>262747 - SHIRAZ AZIZ</t>
  </si>
  <si>
    <t>262757 - MAGDELENA DELPORT</t>
  </si>
  <si>
    <t>262771 - EDWARD WARING</t>
  </si>
  <si>
    <t>262772 - AZIZ RUAOL MINNAAR</t>
  </si>
  <si>
    <t>262791 - CHARMAINE MARTHA POLLAK</t>
  </si>
  <si>
    <t>262796 - JACQUES MALHERBE DE VILLIERS</t>
  </si>
  <si>
    <t>262825 - DAMYANTI MITHAL MOOLJEE</t>
  </si>
  <si>
    <t>262833 - ANNA CATHERINA LEWIS</t>
  </si>
  <si>
    <t>262862 - VANITHA PADAYACHEE</t>
  </si>
  <si>
    <t>262880 - HAROLD WILLIAM BOND</t>
  </si>
  <si>
    <t>262918 - LETLHOGONOLO MOTSHEGWA</t>
  </si>
  <si>
    <t>67747 -  MARINE CAPE TOWN</t>
  </si>
  <si>
    <t>262966 - MUREWEZE GOOD</t>
  </si>
  <si>
    <t>262997 - LYNETTE JACOBS</t>
  </si>
  <si>
    <t>262998 - CAROL DUFFIELD</t>
  </si>
  <si>
    <t>263008 - ELZETTE STYGER</t>
  </si>
  <si>
    <t>263033 - SIPHESIHLE JIKAZANA</t>
  </si>
  <si>
    <t>67793 -  SIGNATURE MADE</t>
  </si>
  <si>
    <t>263038 - KARIN VAN DER BERG</t>
  </si>
  <si>
    <t>263055 - DAWN SHARON FRANCIS</t>
  </si>
  <si>
    <t>263070 - VICKY SEBOTHOMA</t>
  </si>
  <si>
    <t>263076 - NTOKOZO NKOSIKHONA LUNGA</t>
  </si>
  <si>
    <t>263082 - FATIMA HARRIS</t>
  </si>
  <si>
    <t>263089 - BOIKANYO EMMANUEL DUBE</t>
  </si>
  <si>
    <t>263097 - ZINTLE MTHWAKAZI DYWILI</t>
  </si>
  <si>
    <t>263099 - PRECIOUS CHOKOE</t>
  </si>
  <si>
    <t>263100 - BONGIWE BENEDICTOR MAGAIA</t>
  </si>
  <si>
    <t>263103 - REBONE GLADYS KWADI</t>
  </si>
  <si>
    <t>263106 - MOHAU MADISHA</t>
  </si>
  <si>
    <t>263107 - MONDE NCETANI</t>
  </si>
  <si>
    <t>263113 - DIEKENTSENG MIKOSI</t>
  </si>
  <si>
    <t>263114 - BRILLIANT MOLAHLEGI MAKALENG</t>
  </si>
  <si>
    <t>263115 - TUMELO COLLIN MASHIANE</t>
  </si>
  <si>
    <t>263116 - LUCIA MABASA</t>
  </si>
  <si>
    <t>263120 - JABULANI RICHARD MSIBI</t>
  </si>
  <si>
    <t>263121 - MBALI SIBIYA</t>
  </si>
  <si>
    <t>263122 - SYDNEY SANDANI</t>
  </si>
  <si>
    <t>263127 - KATLEGO BETHUEL RAKOENA</t>
  </si>
  <si>
    <t>263131 - KAGISO BOLDWIN SELEMELA</t>
  </si>
  <si>
    <t>263132 - THABANG JUSTICE SELEMELA</t>
  </si>
  <si>
    <t>263152 - ROBIN DAVID ANSELL</t>
  </si>
  <si>
    <t>263159 - PHUMUDZO CYNTHIA MACHOCHI</t>
  </si>
  <si>
    <t>263198 - SAMUEL JOKONYA</t>
  </si>
  <si>
    <t>263228 - TILSON NHLANHLA NGEMA</t>
  </si>
  <si>
    <t>263230 - ASHLEY NAICKER</t>
  </si>
  <si>
    <t>263243 - REFILWE CATHRINE SEEFANE</t>
  </si>
  <si>
    <t>263258 - MORUTI DUSTUN LANGA</t>
  </si>
  <si>
    <t>263270 - JOHLINE GURRIAH</t>
  </si>
  <si>
    <t>263271 - MKHULEKELWA ROBERT XABA</t>
  </si>
  <si>
    <t>263274 - LESIRE MAKE</t>
  </si>
  <si>
    <t>263275 - GISELLE ANTOINETTE AUGUSTINE</t>
  </si>
  <si>
    <t>263307 - DOREEN ZUWENI</t>
  </si>
  <si>
    <t>263314 - ALEXANDRA KATHERINA SCHUDEL</t>
  </si>
  <si>
    <t>263316 - JEFFREY THOMAS SMITH</t>
  </si>
  <si>
    <t>263329 - LYNN COLLEEN SHORT</t>
  </si>
  <si>
    <t>263336 - DALE NORMAN BARNARD</t>
  </si>
  <si>
    <t>263370 - JADE URSULA JACOBS</t>
  </si>
  <si>
    <t>263520 - JACOBUS JOHANNES BARNARD</t>
  </si>
  <si>
    <t>263613 - SANDRA BOTHA</t>
  </si>
  <si>
    <t>263616 - ROCHELLE VALENCIA GOVENDER</t>
  </si>
  <si>
    <t>263620 - KENEHILOE PULENG SELEMELA</t>
  </si>
  <si>
    <t>263630 - CHIVAAN PILLAY</t>
  </si>
  <si>
    <t>67929 - HEAD OFFICE</t>
  </si>
  <si>
    <t>263676 - LEE ANN STACEY</t>
  </si>
  <si>
    <t>263688 - GEOFFREY JOHN DE PINCHART</t>
  </si>
  <si>
    <t>262793 - SYLVIA LOGANAIGIE SEGERS</t>
  </si>
  <si>
    <t>263714 - SYLVIA LOGANAIGIE SEGERS</t>
  </si>
  <si>
    <t>CHARNELLE GREY</t>
  </si>
  <si>
    <t>263720 - CHARNELLE GRAY</t>
  </si>
  <si>
    <t>MARTHA MARITZ</t>
  </si>
  <si>
    <t>263721 - MARTHA MAGDALENA MARITZ</t>
  </si>
  <si>
    <t>ROMY NOMIS</t>
  </si>
  <si>
    <t>263726 - ROMY NOMIS</t>
  </si>
  <si>
    <t>CLIVE BOYD</t>
  </si>
  <si>
    <t>263728 - CLIVE ANDREW BOYD</t>
  </si>
  <si>
    <t>MADELEINE TRYBOS</t>
  </si>
  <si>
    <t>263729 - MADELEIN TRYBUS</t>
  </si>
  <si>
    <t>MARITA WESTENRAAD</t>
  </si>
  <si>
    <t>263736 - MARITA WESTENRAAD</t>
  </si>
  <si>
    <t>2782 - LYNNE AULD</t>
  </si>
  <si>
    <t>30844 - CYNTHIA ANN CLIVE</t>
  </si>
  <si>
    <t>361 - WANDA CASSAR</t>
  </si>
  <si>
    <t>40506 - LEONIE CREMER DELPORT</t>
  </si>
  <si>
    <t>50183 - ANDRE EUGENE DU SART</t>
  </si>
  <si>
    <t>50210 - ESAU BUTANA BANDA</t>
  </si>
  <si>
    <t>50265 - DALEEN OOSTHUIZEN</t>
  </si>
  <si>
    <t>50267 - SUSAN ALEXANA LINDSAY</t>
  </si>
  <si>
    <t>50296 - NOMAFA GUMADA</t>
  </si>
  <si>
    <t>50300 - ANNA SUSANNA LANGENHOVEN</t>
  </si>
  <si>
    <t>50433 - BRENDA MAIDA JOY KING</t>
  </si>
  <si>
    <t>50503 - MARTHINUS HERMANUS  WILHELM SMITH</t>
  </si>
  <si>
    <t>50593 - JACQUELINE BOYES</t>
  </si>
  <si>
    <t>50595 - DIANNE JANE BUGG</t>
  </si>
  <si>
    <t>51151 - SHARLEEN EVELYN JONK</t>
  </si>
  <si>
    <t>51344 - PEARL MOTLALEPULE MATHOPE</t>
  </si>
  <si>
    <t>51459 - AMANDA O BRIEN</t>
  </si>
  <si>
    <t>51515 - CLARE GELDERBLOM</t>
  </si>
  <si>
    <t>51599 - DEBRA SONIA PICK</t>
  </si>
  <si>
    <t>60102 - GLEN FAGAN</t>
  </si>
  <si>
    <t>61801 - ROBERT CHRISTOPHER FRANCIS</t>
  </si>
  <si>
    <t>70084 - ALINA MOGODI</t>
  </si>
  <si>
    <t>70085 - CAROL LEE AXFORD</t>
  </si>
  <si>
    <t>70273 - KERRY LEE PELSER</t>
  </si>
  <si>
    <t>70502 - ALETTA GERTRYDA LOURENS</t>
  </si>
  <si>
    <t>70785 - JAMES STANFORD</t>
  </si>
  <si>
    <t>70808 - NOLUBABALO JACQUELINE MQOMBOTI</t>
  </si>
  <si>
    <t>71020 - THEMBA ZULU</t>
  </si>
  <si>
    <t>71053 - DIALE MATHAKGALA</t>
  </si>
  <si>
    <t>71254 - LEFU JACOB MOLOI</t>
  </si>
  <si>
    <t>71350 - ALBINA FERNANDES FERREIRA DA CUNHA</t>
  </si>
  <si>
    <t>71374 - BERNICE MCMAGH</t>
  </si>
  <si>
    <t>71387 - NICOLE CATTERALL</t>
  </si>
  <si>
    <t>71393 - STEVEN EDWARD OLENDZKI   BROWN</t>
  </si>
  <si>
    <t>71460 - MEGGYN DELAINY MAROT</t>
  </si>
  <si>
    <t>71476 - THEMBEKILE NURSE NKOSI</t>
  </si>
  <si>
    <t>71508 - ELEANOR ELIZABETH GORDON</t>
  </si>
  <si>
    <t>71807 - SAMUEL TSHOKOLO BOWMAN</t>
  </si>
  <si>
    <t>71876 - JOHAN GUSTAV ROTH</t>
  </si>
  <si>
    <t>71886 - RICHARD SADLER</t>
  </si>
  <si>
    <t>75007 - KHANYISA GOGELA</t>
  </si>
  <si>
    <t>75014 - CYPRIAN VUSI DLAMINI</t>
  </si>
  <si>
    <t>75027 - PATRIZIA ELENA NEL</t>
  </si>
  <si>
    <t>75064 - MICHAEL QUAIL</t>
  </si>
  <si>
    <t>75078 - PATRICK MASAO RADIOPANE</t>
  </si>
  <si>
    <t>75094 - BENITA GALE JORDAAN</t>
  </si>
  <si>
    <t>75116 - GARY IAN FERGUSON</t>
  </si>
  <si>
    <t>75131 - SUGANDHREE MADURAMUTHU</t>
  </si>
  <si>
    <t>75210 - ETHNE GEORGINA COETZEE</t>
  </si>
  <si>
    <t>75216 - JAYASEELA JAMES</t>
  </si>
  <si>
    <t>75288 - THAMSANQA MATTHEWS NGALI</t>
  </si>
  <si>
    <t>75337 - LEE JUAN EMMITT MEYER</t>
  </si>
  <si>
    <t>75343 - LEIGH LOFFELL-DAWSON</t>
  </si>
  <si>
    <t>75347 - MOAISE ANDREW LENKOKILE</t>
  </si>
  <si>
    <t>75368 - GRAEME DAVID FULLER</t>
  </si>
  <si>
    <t>75406 - TAARIQ MARK MINNAAR</t>
  </si>
  <si>
    <t>75407 - LINDSAY MEL AUGUSTUS</t>
  </si>
  <si>
    <t>75535 - SHARON DEETLEFS</t>
  </si>
  <si>
    <t>75555 - WILLIAM WARD CAMPHER</t>
  </si>
  <si>
    <t>75580 - LINDIE CHANTHAL TUCKER</t>
  </si>
  <si>
    <t>75596 - MPHO MAKUMBANE</t>
  </si>
  <si>
    <t>75603 - JAMES NICHOLAS ALEXANDER TYSON</t>
  </si>
  <si>
    <t>75616 - DANIKA SMITH</t>
  </si>
  <si>
    <t>NET EMPLOYEE TRANSFERS</t>
  </si>
  <si>
    <t>75638 - NHLANHLA NTSANE</t>
  </si>
  <si>
    <t>75643 - JAN NEO RAMAKOELE</t>
  </si>
  <si>
    <t>75674 - TSHEPO SEDUKE</t>
  </si>
  <si>
    <t>75728 - DARLINGTON MUNHUWANI</t>
  </si>
  <si>
    <t>75747 - PRISCILLA ANNE HART</t>
  </si>
  <si>
    <t>75750 - SICELO DOUT MLOTSHWA</t>
  </si>
  <si>
    <t>75767 - LORETTA KGASI</t>
  </si>
  <si>
    <t>75791 - SAMANTHA JORDAAN</t>
  </si>
  <si>
    <t>75870 - LERATO GLORIA MEHLAPE</t>
  </si>
  <si>
    <t>82102 - YOLAND CLORUS HUXTABLE</t>
  </si>
  <si>
    <t>NEW 7</t>
  </si>
  <si>
    <t>NEW 8</t>
  </si>
  <si>
    <t>NEW 9</t>
  </si>
  <si>
    <t>NEW 10</t>
  </si>
  <si>
    <t>NEW 11</t>
  </si>
  <si>
    <t>NEW 12</t>
  </si>
  <si>
    <t>NEW 13</t>
  </si>
  <si>
    <t>NEW 14</t>
  </si>
  <si>
    <t>NEW 15</t>
  </si>
  <si>
    <t>NEW 16</t>
  </si>
  <si>
    <t>NEW 17</t>
  </si>
  <si>
    <t>NEW 18</t>
  </si>
  <si>
    <t>NEW 19</t>
  </si>
  <si>
    <t>NEW 20</t>
  </si>
  <si>
    <t>NEW 21</t>
  </si>
  <si>
    <t>NEW 22</t>
  </si>
  <si>
    <t>NEW 23</t>
  </si>
  <si>
    <t>NEW 24</t>
  </si>
  <si>
    <t>NEW 25</t>
  </si>
  <si>
    <t>NEW 26</t>
  </si>
  <si>
    <t>NEW 27</t>
  </si>
  <si>
    <t>NEW 28</t>
  </si>
  <si>
    <t>NEW 29</t>
  </si>
  <si>
    <t>NEW 30</t>
  </si>
  <si>
    <t>NEW 31</t>
  </si>
  <si>
    <t>NEW 32</t>
  </si>
  <si>
    <t>NEW 33</t>
  </si>
  <si>
    <t>NEW 34</t>
  </si>
  <si>
    <t>NEW 35</t>
  </si>
  <si>
    <t>NEW 36</t>
  </si>
  <si>
    <t>262587 - DANIEL SCHUURMANS</t>
  </si>
  <si>
    <t>263187 - TERENCE WILLIAMS</t>
  </si>
  <si>
    <t>Headcount</t>
  </si>
  <si>
    <t>Value</t>
  </si>
  <si>
    <t>NEW POSITIONS '17</t>
  </si>
  <si>
    <t>Add further details here</t>
  </si>
  <si>
    <t>[Begin Format Range]</t>
  </si>
  <si>
    <t>Actual</t>
  </si>
  <si>
    <t>unspecified department</t>
  </si>
  <si>
    <t>D</t>
  </si>
  <si>
    <t>N</t>
  </si>
  <si>
    <t>[End Format Range]</t>
  </si>
  <si>
    <t>aon prd:Payroll:1</t>
  </si>
  <si>
    <t>2016 - 2017</t>
  </si>
  <si>
    <t>dec YTD</t>
  </si>
  <si>
    <t>Department</t>
  </si>
  <si>
    <t>EE</t>
  </si>
  <si>
    <t>Working Budget</t>
  </si>
  <si>
    <t>TMP Perm</t>
  </si>
  <si>
    <t>Variance</t>
  </si>
  <si>
    <t>Start Date</t>
  </si>
  <si>
    <t>Termination Date</t>
  </si>
  <si>
    <t>Group</t>
  </si>
  <si>
    <t>Reasons</t>
  </si>
  <si>
    <t>20140901</t>
  </si>
  <si>
    <t>19950201</t>
  </si>
  <si>
    <t>19910601</t>
  </si>
  <si>
    <t>20120401</t>
  </si>
  <si>
    <t>20130102</t>
  </si>
  <si>
    <t>20090401</t>
  </si>
  <si>
    <t>20110201</t>
  </si>
  <si>
    <t>20140501</t>
  </si>
  <si>
    <t>20010618</t>
  </si>
  <si>
    <t>20090316</t>
  </si>
  <si>
    <t>20141223</t>
  </si>
  <si>
    <t>20151101</t>
  </si>
  <si>
    <t>20160601</t>
  </si>
  <si>
    <t>20110101</t>
  </si>
  <si>
    <t>20110301</t>
  </si>
  <si>
    <t>20160520</t>
  </si>
  <si>
    <t>20060223</t>
  </si>
  <si>
    <t>20100301</t>
  </si>
  <si>
    <t>20101001</t>
  </si>
  <si>
    <t>20150302</t>
  </si>
  <si>
    <t>20160701</t>
  </si>
  <si>
    <t>20040920</t>
  </si>
  <si>
    <t>19930701</t>
  </si>
  <si>
    <t>20131001</t>
  </si>
  <si>
    <t>20150504</t>
  </si>
  <si>
    <t>20160915</t>
  </si>
  <si>
    <t>20050801</t>
  </si>
  <si>
    <t>263745 - WAYNE BOJé</t>
  </si>
  <si>
    <t>20160901</t>
  </si>
  <si>
    <t>20050201</t>
  </si>
  <si>
    <t>20090112</t>
  </si>
  <si>
    <t>20090201</t>
  </si>
  <si>
    <t>20160912</t>
  </si>
  <si>
    <t>New 3</t>
  </si>
  <si>
    <t>20090406</t>
  </si>
  <si>
    <t>20100706</t>
  </si>
  <si>
    <t>20130617</t>
  </si>
  <si>
    <t>20150105</t>
  </si>
  <si>
    <t>20160329</t>
  </si>
  <si>
    <t>20060123</t>
  </si>
  <si>
    <t>20111024</t>
  </si>
  <si>
    <t>20120901</t>
  </si>
  <si>
    <t>20130201</t>
  </si>
  <si>
    <t>20060701</t>
  </si>
  <si>
    <t>20000104</t>
  </si>
  <si>
    <t>20081101</t>
  </si>
  <si>
    <t>20110207</t>
  </si>
  <si>
    <t>20080401</t>
  </si>
  <si>
    <t>20100118</t>
  </si>
  <si>
    <t>20121022</t>
  </si>
  <si>
    <t>20080825</t>
  </si>
  <si>
    <t>20160630</t>
  </si>
  <si>
    <t>New 2</t>
  </si>
  <si>
    <t>20011101</t>
  </si>
  <si>
    <t>20110601</t>
  </si>
  <si>
    <t>20120301</t>
  </si>
  <si>
    <t>20120903</t>
  </si>
  <si>
    <t>20160610</t>
  </si>
  <si>
    <t>20160219</t>
  </si>
  <si>
    <t>20140201</t>
  </si>
  <si>
    <t>20140601</t>
  </si>
  <si>
    <t>20160407</t>
  </si>
  <si>
    <t>20151203</t>
  </si>
  <si>
    <t>20160411</t>
  </si>
  <si>
    <t>20000601</t>
  </si>
  <si>
    <t>New 4</t>
  </si>
  <si>
    <t>New 5</t>
  </si>
  <si>
    <t>20040601</t>
  </si>
  <si>
    <t>20070507</t>
  </si>
  <si>
    <t>20091001</t>
  </si>
  <si>
    <t>20100201</t>
  </si>
  <si>
    <t>20081017</t>
  </si>
  <si>
    <t>20140306</t>
  </si>
  <si>
    <t>20140728</t>
  </si>
  <si>
    <t>20150101</t>
  </si>
  <si>
    <t>20150801</t>
  </si>
  <si>
    <t>20110221</t>
  </si>
  <si>
    <t>20120103</t>
  </si>
  <si>
    <t>20070627</t>
  </si>
  <si>
    <t>20130401</t>
  </si>
  <si>
    <t>Revenue walk</t>
  </si>
  <si>
    <t>AON GROUP excl Exit</t>
  </si>
  <si>
    <t>Plug in Retail headoffice cost centre</t>
  </si>
  <si>
    <t>Claims Outsourced</t>
  </si>
  <si>
    <t>New new positions</t>
  </si>
  <si>
    <t>Retail Restructure</t>
  </si>
  <si>
    <t>Replacement positions</t>
  </si>
  <si>
    <t>Broking Restructure</t>
  </si>
  <si>
    <t>Employee transfers</t>
  </si>
  <si>
    <t>CLIENT NUMBER</t>
  </si>
  <si>
    <t>CLIENT NAME</t>
  </si>
  <si>
    <t>INVOICE
NO</t>
  </si>
  <si>
    <t>INVOICE
DATE</t>
  </si>
  <si>
    <t>INVOICE EFF. DATE</t>
  </si>
  <si>
    <t>CLIENT PREMUIM</t>
  </si>
  <si>
    <t>BROKERAGE</t>
  </si>
  <si>
    <t>SPC FEE</t>
  </si>
  <si>
    <t>SUBAGENT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</si>
  <si>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</si>
  <si>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</si>
  <si>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</si>
  <si>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</si>
  <si>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</si>
  <si>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</si>
  <si>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</si>
  <si>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</si>
  <si>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</si>
  <si>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</si>
  <si>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</si>
  <si>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Ctegory</t>
  </si>
  <si>
    <t>A0223</t>
  </si>
  <si>
    <t>Air Botswana</t>
  </si>
  <si>
    <t>00297942</t>
  </si>
  <si>
    <t>Non Interco Brkg Comm Renewal</t>
  </si>
  <si>
    <t>A5229</t>
  </si>
  <si>
    <t>Alhpa Climbers</t>
  </si>
  <si>
    <t>A5234</t>
  </si>
  <si>
    <t>Another Motsatsi Investments (Pty) Ltd</t>
  </si>
  <si>
    <t>00298626</t>
  </si>
  <si>
    <t>A4988</t>
  </si>
  <si>
    <t>Antya Investment (Pty) Ltd</t>
  </si>
  <si>
    <t>00302643</t>
  </si>
  <si>
    <t>A2203</t>
  </si>
  <si>
    <t>Aon Preservation Fund</t>
  </si>
  <si>
    <t>A5077</t>
  </si>
  <si>
    <t>Aramex Botswana (Pty) Ltd</t>
  </si>
  <si>
    <t>00299411</t>
  </si>
  <si>
    <t>A0486</t>
  </si>
  <si>
    <t>Associated Fund Administrators (Pty) Ltd</t>
  </si>
  <si>
    <t>A5231</t>
  </si>
  <si>
    <t>Astounding Solutions (Pty) Ltd</t>
  </si>
  <si>
    <t>00297034</t>
  </si>
  <si>
    <t>E4780</t>
  </si>
  <si>
    <t>Barloword Equipment Botswana (Pty) Ltd</t>
  </si>
  <si>
    <t>00301163</t>
  </si>
  <si>
    <t>B5340</t>
  </si>
  <si>
    <t>BIHL Defined Contribution Retirement Fund</t>
  </si>
  <si>
    <t>00297961</t>
  </si>
  <si>
    <t>B5280</t>
  </si>
  <si>
    <t>BIHL Insurance Company</t>
  </si>
  <si>
    <t>00297856</t>
  </si>
  <si>
    <t>B5447</t>
  </si>
  <si>
    <t>BOMaid</t>
  </si>
  <si>
    <t>00297740</t>
  </si>
  <si>
    <t>B1044</t>
  </si>
  <si>
    <t>Botswana Accountancy College</t>
  </si>
  <si>
    <t>00297128</t>
  </si>
  <si>
    <t>B5253</t>
  </si>
  <si>
    <t>Botswana Bureau of Standards</t>
  </si>
  <si>
    <t>00299630</t>
  </si>
  <si>
    <t>B4976</t>
  </si>
  <si>
    <t>Botswana Communications Regulatory Authority</t>
  </si>
  <si>
    <t>00299802</t>
  </si>
  <si>
    <t>B5599</t>
  </si>
  <si>
    <t>Botswana Energy Regulatory Authority</t>
  </si>
  <si>
    <t>00298314</t>
  </si>
  <si>
    <t>B5074</t>
  </si>
  <si>
    <t>Botswana Examinations Council</t>
  </si>
  <si>
    <t>00303599</t>
  </si>
  <si>
    <t>B5168</t>
  </si>
  <si>
    <t>Botswana Housing Corporation Staff Pension Fund</t>
  </si>
  <si>
    <t>00299208</t>
  </si>
  <si>
    <t>B5614</t>
  </si>
  <si>
    <t>Botswana Institute for Technology Research and Innovation</t>
  </si>
  <si>
    <t>00299531</t>
  </si>
  <si>
    <t>B1988</t>
  </si>
  <si>
    <t>Botswana Insurance Fund Management</t>
  </si>
  <si>
    <t>00302939</t>
  </si>
  <si>
    <t>B5211</t>
  </si>
  <si>
    <t>Botswana Insurance Holdings Limited</t>
  </si>
  <si>
    <t>00303051</t>
  </si>
  <si>
    <t>L5011</t>
  </si>
  <si>
    <t>Botswana Life Insurance Limited</t>
  </si>
  <si>
    <t>00303590</t>
  </si>
  <si>
    <t>B5017</t>
  </si>
  <si>
    <t>Botswana Meat Commission</t>
  </si>
  <si>
    <t>00301612</t>
  </si>
  <si>
    <t>B5367</t>
  </si>
  <si>
    <t>Botswana Oil Limited</t>
  </si>
  <si>
    <t>00297074</t>
  </si>
  <si>
    <t>B5301</t>
  </si>
  <si>
    <t>Botswana Open University</t>
  </si>
  <si>
    <t>00299810</t>
  </si>
  <si>
    <t>B5328</t>
  </si>
  <si>
    <t>Botswana Postal Services</t>
  </si>
  <si>
    <t>00298871</t>
  </si>
  <si>
    <t>B4858</t>
  </si>
  <si>
    <t>Botswana Public Officers Medical Aid Scheme</t>
  </si>
  <si>
    <t>00299569</t>
  </si>
  <si>
    <t>B5288</t>
  </si>
  <si>
    <t>Botswana Railways</t>
  </si>
  <si>
    <t>00301610</t>
  </si>
  <si>
    <t>B4903</t>
  </si>
  <si>
    <t>Botswana Stock Exchange</t>
  </si>
  <si>
    <t>00297159</t>
  </si>
  <si>
    <t>B5018</t>
  </si>
  <si>
    <t>Botswana Tourism Organization</t>
  </si>
  <si>
    <t>00299682</t>
  </si>
  <si>
    <t>B5464</t>
  </si>
  <si>
    <t>Botswana Trade Commission</t>
  </si>
  <si>
    <t>00299557</t>
  </si>
  <si>
    <t>B5735</t>
  </si>
  <si>
    <t>BRECKWICK HOLDINGS</t>
  </si>
  <si>
    <t>00303034</t>
  </si>
  <si>
    <t>C4946</t>
  </si>
  <si>
    <t>Car Rentals Botswana (Pty) Ltd</t>
  </si>
  <si>
    <t>00301188</t>
  </si>
  <si>
    <t>C5187</t>
  </si>
  <si>
    <t>Cash Bazaar  Holdings( Pty) Ltd - Industrial Division</t>
  </si>
  <si>
    <t>00303473</t>
  </si>
  <si>
    <t>C5040</t>
  </si>
  <si>
    <t>Cash Bazaar Holdings</t>
  </si>
  <si>
    <t>00303449</t>
  </si>
  <si>
    <t>C5188</t>
  </si>
  <si>
    <t>00303452</t>
  </si>
  <si>
    <t>H4885</t>
  </si>
  <si>
    <t>00303456</t>
  </si>
  <si>
    <t>I4667</t>
  </si>
  <si>
    <t>00303458</t>
  </si>
  <si>
    <t>M6904</t>
  </si>
  <si>
    <t>00303459</t>
  </si>
  <si>
    <t>N5019</t>
  </si>
  <si>
    <t>00303448</t>
  </si>
  <si>
    <t>P4976</t>
  </si>
  <si>
    <t>00303454</t>
  </si>
  <si>
    <t>T4978</t>
  </si>
  <si>
    <t>00303444</t>
  </si>
  <si>
    <t>C1433</t>
  </si>
  <si>
    <t>Cash Bazaar Holdings (Pty) Ltd</t>
  </si>
  <si>
    <t>00303429</t>
  </si>
  <si>
    <t>C5206</t>
  </si>
  <si>
    <t>Cashbuild Botswana (Pty) Ltd.</t>
  </si>
  <si>
    <t>00302114</t>
  </si>
  <si>
    <t>C5253</t>
  </si>
  <si>
    <t>CB Retail Clothing (Pty) Ltd.</t>
  </si>
  <si>
    <t>00303730</t>
  </si>
  <si>
    <t>F5003</t>
  </si>
  <si>
    <t>The Fields Mall</t>
  </si>
  <si>
    <t>00303533</t>
  </si>
  <si>
    <t>C5053</t>
  </si>
  <si>
    <t>Central Securities Depository of Botswana</t>
  </si>
  <si>
    <t>00297481</t>
  </si>
  <si>
    <t>C5213</t>
  </si>
  <si>
    <t>Central Square Body Corporate</t>
  </si>
  <si>
    <t>C5138</t>
  </si>
  <si>
    <t>CITY LODGE HOTELS LTD</t>
  </si>
  <si>
    <t>00302931</t>
  </si>
  <si>
    <t>C5029</t>
  </si>
  <si>
    <t>Civil Aviation Authority</t>
  </si>
  <si>
    <t>00297211</t>
  </si>
  <si>
    <t>C5160</t>
  </si>
  <si>
    <t>Cletem Electrical (Pty) Ltd</t>
  </si>
  <si>
    <t>00302758</t>
  </si>
  <si>
    <t>C5280</t>
  </si>
  <si>
    <t>Coca Cola Beverages Manufaturing</t>
  </si>
  <si>
    <t>00298529</t>
  </si>
  <si>
    <t>C5260</t>
  </si>
  <si>
    <t>Consulting Unlimited (Pty) Ltd</t>
  </si>
  <si>
    <t>00297516</t>
  </si>
  <si>
    <t>C5278</t>
  </si>
  <si>
    <t>Cotton on Botswana (Pty) Ltd</t>
  </si>
  <si>
    <t>00297818</t>
  </si>
  <si>
    <t>C0847</t>
  </si>
  <si>
    <t>Cresta Group</t>
  </si>
  <si>
    <t>00297690</t>
  </si>
  <si>
    <t>C4980</t>
  </si>
  <si>
    <t>Crowsley Park (Pty)Ltd</t>
  </si>
  <si>
    <t>00298955</t>
  </si>
  <si>
    <t>C4873</t>
  </si>
  <si>
    <t>Cummins Botswana (Pty) Ltd</t>
  </si>
  <si>
    <t>00302911</t>
  </si>
  <si>
    <t>D5202</t>
  </si>
  <si>
    <t>Deferred Pensioners Pension Fund</t>
  </si>
  <si>
    <t>00299513</t>
  </si>
  <si>
    <t>D5115</t>
  </si>
  <si>
    <t>Deloitte &amp; Touche</t>
  </si>
  <si>
    <t>00301315</t>
  </si>
  <si>
    <t>D2022</t>
  </si>
  <si>
    <t>DHL International (Botswana) Pty Ltd</t>
  </si>
  <si>
    <t>00297225</t>
  </si>
  <si>
    <t>D5195</t>
  </si>
  <si>
    <t>Dimension Data (Pty) Ltd</t>
  </si>
  <si>
    <t>00300239</t>
  </si>
  <si>
    <t>D4940</t>
  </si>
  <si>
    <t>Dirwe (Pty) Ltd</t>
  </si>
  <si>
    <t>00302647</t>
  </si>
  <si>
    <t>D0926</t>
  </si>
  <si>
    <t>Dulux Botswana (Pty) Ltd</t>
  </si>
  <si>
    <t>00297497</t>
  </si>
  <si>
    <t>E4809</t>
  </si>
  <si>
    <t>East Coast Investors (Pty) Ltd</t>
  </si>
  <si>
    <t>00301139</t>
  </si>
  <si>
    <t>E4822</t>
  </si>
  <si>
    <t>Exploration Geophysics</t>
  </si>
  <si>
    <t>F4993</t>
  </si>
  <si>
    <t>Filano (Pty) Ltd</t>
  </si>
  <si>
    <t>00300949</t>
  </si>
  <si>
    <t>F5017</t>
  </si>
  <si>
    <t>Franklin Electricals</t>
  </si>
  <si>
    <t>F4956</t>
  </si>
  <si>
    <t>Free Standing Additional Voluntary Contributions Retirement Fund</t>
  </si>
  <si>
    <t>00302031</t>
  </si>
  <si>
    <t>G1325</t>
  </si>
  <si>
    <t>G4 Consulting Engineers</t>
  </si>
  <si>
    <t>00298079</t>
  </si>
  <si>
    <t>G5319</t>
  </si>
  <si>
    <t>GENERAL PACKAGING INDUSTRIES (PTY) LTD</t>
  </si>
  <si>
    <t>G</t>
  </si>
  <si>
    <t>General Dynamics</t>
  </si>
  <si>
    <t>M6284</t>
  </si>
  <si>
    <t>Goo Moremi Resort (Pty) Ltd</t>
  </si>
  <si>
    <t>00299722</t>
  </si>
  <si>
    <t>G5373</t>
  </si>
  <si>
    <t>Grips Energy Botswana Proprietary Limited</t>
  </si>
  <si>
    <t>00303039</t>
  </si>
  <si>
    <t>I4636</t>
  </si>
  <si>
    <t>Italtswana Construction Company</t>
  </si>
  <si>
    <t>00302644</t>
  </si>
  <si>
    <t>A4913</t>
  </si>
  <si>
    <t>Kalideck Botswana (Pty)Ltd</t>
  </si>
  <si>
    <t>00297050</t>
  </si>
  <si>
    <t>K1800</t>
  </si>
  <si>
    <t>Kgalagadi Breweries (Pty) Ltd</t>
  </si>
  <si>
    <t>00299301</t>
  </si>
  <si>
    <t>K5292</t>
  </si>
  <si>
    <t>Kgale Close</t>
  </si>
  <si>
    <t>K5060</t>
  </si>
  <si>
    <t>Kweneng Commercial Consultants (Pty) Ltd</t>
  </si>
  <si>
    <t>00297849</t>
  </si>
  <si>
    <t>L4963</t>
  </si>
  <si>
    <t>Legae English Medium School (Pty) Ltd</t>
  </si>
  <si>
    <t>00297822</t>
  </si>
  <si>
    <t>L5194</t>
  </si>
  <si>
    <t>Lepokole Project</t>
  </si>
  <si>
    <t>00299725</t>
  </si>
  <si>
    <t>L5098</t>
  </si>
  <si>
    <t>Letlole La Rona</t>
  </si>
  <si>
    <t>00301885</t>
  </si>
  <si>
    <t>L5155</t>
  </si>
  <si>
    <t>Letshego Holdings Limited</t>
  </si>
  <si>
    <t>00297482</t>
  </si>
  <si>
    <t>L5040</t>
  </si>
  <si>
    <t>Lotsane Complex (Pty) Ltd</t>
  </si>
  <si>
    <t>00302641</t>
  </si>
  <si>
    <t>M7296</t>
  </si>
  <si>
    <t>Manprop Body Corporate</t>
  </si>
  <si>
    <t>00297752</t>
  </si>
  <si>
    <t>M7728</t>
  </si>
  <si>
    <t>MARGUERITE HOLDINGS (PTY) LTD</t>
  </si>
  <si>
    <t>00298604</t>
  </si>
  <si>
    <t>M5521</t>
  </si>
  <si>
    <t>Maru A Pula School</t>
  </si>
  <si>
    <t>00299614</t>
  </si>
  <si>
    <t>M7245</t>
  </si>
  <si>
    <t>Metropolitan Staff Pension Fund</t>
  </si>
  <si>
    <t>00300063</t>
  </si>
  <si>
    <t>M7399</t>
  </si>
  <si>
    <t>Metropolitan Staff Provident Fund</t>
  </si>
  <si>
    <t>00300064</t>
  </si>
  <si>
    <t>M7314</t>
  </si>
  <si>
    <t>Millenium Pension Fund</t>
  </si>
  <si>
    <t>00302009</t>
  </si>
  <si>
    <t>M5457</t>
  </si>
  <si>
    <t>Minchin &amp; Kelly (Botswana)</t>
  </si>
  <si>
    <t>00301756</t>
  </si>
  <si>
    <t>G5258</t>
  </si>
  <si>
    <t>Minet Beneficiary Fund</t>
  </si>
  <si>
    <t>00303655</t>
  </si>
  <si>
    <t>A1987</t>
  </si>
  <si>
    <t>Minet Botswana (Pty)Ltd</t>
  </si>
  <si>
    <t>00297724</t>
  </si>
  <si>
    <t>M8158</t>
  </si>
  <si>
    <t>Minet Retirement Solutions</t>
  </si>
  <si>
    <t>timming</t>
  </si>
  <si>
    <t>M8160</t>
  </si>
  <si>
    <t>Minet Risk Management &amp; Consulting</t>
  </si>
  <si>
    <t>M7729</t>
  </si>
  <si>
    <t>MONARDA HOLDINGS (PTY) LTD</t>
  </si>
  <si>
    <t>M6784</t>
  </si>
  <si>
    <t>Moremi Air Services ( Pty) Ltd</t>
  </si>
  <si>
    <t>00303037</t>
  </si>
  <si>
    <t>M1811</t>
  </si>
  <si>
    <t>MRI Botswana Limited</t>
  </si>
  <si>
    <t>00297059</t>
  </si>
  <si>
    <t>M6790</t>
  </si>
  <si>
    <t>Multichoice Botswana (Pty) Ltd</t>
  </si>
  <si>
    <t>00302927</t>
  </si>
  <si>
    <t>N5238</t>
  </si>
  <si>
    <t>Nafprop (Proprietary) Limited</t>
  </si>
  <si>
    <t>00299092</t>
  </si>
  <si>
    <t>N4894</t>
  </si>
  <si>
    <t>National Agricultural Research Development Institute Pension Fund</t>
  </si>
  <si>
    <t>00299703</t>
  </si>
  <si>
    <t>I0690</t>
  </si>
  <si>
    <t>Ninety One Botswana Proprietary Limited</t>
  </si>
  <si>
    <t>00299978</t>
  </si>
  <si>
    <t>N5104</t>
  </si>
  <si>
    <t>Non Bank Financial Institutions Regulatory Authority</t>
  </si>
  <si>
    <t>00302739</t>
  </si>
  <si>
    <t>N5100</t>
  </si>
  <si>
    <t>Norsad Finance Ltd</t>
  </si>
  <si>
    <t>N1303</t>
  </si>
  <si>
    <t>Northside Primary School</t>
  </si>
  <si>
    <t>00302856</t>
  </si>
  <si>
    <t>O4859</t>
  </si>
  <si>
    <t>Orange Botswana (Pty) Ltd</t>
  </si>
  <si>
    <t>00297478</t>
  </si>
  <si>
    <t>P4818</t>
  </si>
  <si>
    <t>PEEPA</t>
  </si>
  <si>
    <t>00299438</t>
  </si>
  <si>
    <t>P5000</t>
  </si>
  <si>
    <t>Propcorp (Pty) Ltd</t>
  </si>
  <si>
    <t>00302642</t>
  </si>
  <si>
    <t>P5001</t>
  </si>
  <si>
    <t>Property &amp; Asset Management Ltd</t>
  </si>
  <si>
    <t>00302648</t>
  </si>
  <si>
    <t>P4834</t>
  </si>
  <si>
    <t>Pula Medical Aid Fund</t>
  </si>
  <si>
    <t>00303336</t>
  </si>
  <si>
    <t>R1977</t>
  </si>
  <si>
    <t>Rahim Khan &amp; Company</t>
  </si>
  <si>
    <t>00297736</t>
  </si>
  <si>
    <t>R5041</t>
  </si>
  <si>
    <t>RDC Properties Limited</t>
  </si>
  <si>
    <t>00297406</t>
  </si>
  <si>
    <t>R5346</t>
  </si>
  <si>
    <t>Remarkable Solutions( Pty) Ltd T/A Pest Control Sp</t>
  </si>
  <si>
    <t>00297699</t>
  </si>
  <si>
    <t>S5548</t>
  </si>
  <si>
    <t>Seboba Project</t>
  </si>
  <si>
    <t>00299731</t>
  </si>
  <si>
    <t>S1694</t>
  </si>
  <si>
    <t>Sechaba Brewery Holdings Limited</t>
  </si>
  <si>
    <t>00299952</t>
  </si>
  <si>
    <t>B5606</t>
  </si>
  <si>
    <t>Seema Enterprises (Pty) Ltd t/a Brandz Unlimited</t>
  </si>
  <si>
    <t>00297221</t>
  </si>
  <si>
    <t>S5133</t>
  </si>
  <si>
    <t>Sentlhaga Pension Fund</t>
  </si>
  <si>
    <t>00302737</t>
  </si>
  <si>
    <t>S5022</t>
  </si>
  <si>
    <t>Southern African Development Community</t>
  </si>
  <si>
    <t>00301359</t>
  </si>
  <si>
    <t>S5621</t>
  </si>
  <si>
    <t>Southview (Pty) Ltd</t>
  </si>
  <si>
    <t>00297760</t>
  </si>
  <si>
    <t>S5154</t>
  </si>
  <si>
    <t>Sprint Couriers (Pty) Ltd</t>
  </si>
  <si>
    <t>00299385</t>
  </si>
  <si>
    <t>S5417</t>
  </si>
  <si>
    <t>Stanbic Bank Botswana</t>
  </si>
  <si>
    <t>00297071</t>
  </si>
  <si>
    <t>S1662</t>
  </si>
  <si>
    <t>Standard Chartered Bank Botswana Ltd</t>
  </si>
  <si>
    <t>S5526</t>
  </si>
  <si>
    <t>Statistics Botswana</t>
  </si>
  <si>
    <t>00301607</t>
  </si>
  <si>
    <t>S5294</t>
  </si>
  <si>
    <t>Sunnyside (Pty) Ltd</t>
  </si>
  <si>
    <t>00302646</t>
  </si>
  <si>
    <t>S5962</t>
  </si>
  <si>
    <t>THE FIELDS BODY CORPORATE</t>
  </si>
  <si>
    <t>00301758</t>
  </si>
  <si>
    <t>B5185</t>
  </si>
  <si>
    <t>The University of Pennsylvania</t>
  </si>
  <si>
    <t>00298574</t>
  </si>
  <si>
    <t>A5238</t>
  </si>
  <si>
    <t>The Veil Meat Industries</t>
  </si>
  <si>
    <t>00301142</t>
  </si>
  <si>
    <t>T1473</t>
  </si>
  <si>
    <t>Thornhill Primary School</t>
  </si>
  <si>
    <t>00298398</t>
  </si>
  <si>
    <t>M6331</t>
  </si>
  <si>
    <t>Three Partners Resort Limited</t>
  </si>
  <si>
    <t>00297409</t>
  </si>
  <si>
    <t>S6038</t>
  </si>
  <si>
    <t>Steel Services T/A Toro Junction Mall</t>
  </si>
  <si>
    <t>T5103</t>
  </si>
  <si>
    <t>Tsabong Camel Project</t>
  </si>
  <si>
    <t>00299728</t>
  </si>
  <si>
    <t>T5160</t>
  </si>
  <si>
    <t>Turnstar Holdings (Pty) Ltd</t>
  </si>
  <si>
    <t>00298383</t>
  </si>
  <si>
    <t>S1982</t>
  </si>
  <si>
    <t>Vivo Energy Botswana Staff Pension Fund</t>
  </si>
  <si>
    <t>00297537</t>
  </si>
  <si>
    <t>W4847</t>
  </si>
  <si>
    <t>W N Investments</t>
  </si>
  <si>
    <t>00298833</t>
  </si>
  <si>
    <t>W4938</t>
  </si>
  <si>
    <t>WaterMark Group (Pty) Ltd</t>
  </si>
  <si>
    <t>00297496</t>
  </si>
  <si>
    <t>W5005</t>
  </si>
  <si>
    <t>Wellfield Consulting Services</t>
  </si>
  <si>
    <t>00297958</t>
  </si>
  <si>
    <t>W2119</t>
  </si>
  <si>
    <t>Wellfield Geosciences(Pty)Ltd</t>
  </si>
  <si>
    <t>00301005</t>
  </si>
  <si>
    <t>W1186</t>
  </si>
  <si>
    <t>Westwood International School</t>
  </si>
  <si>
    <t>00298586</t>
  </si>
  <si>
    <t>W4978</t>
  </si>
  <si>
    <t>Woodlane Hotel</t>
  </si>
  <si>
    <t>00298394</t>
  </si>
  <si>
    <t>T</t>
  </si>
  <si>
    <t>Trans Union</t>
  </si>
  <si>
    <t>New Business</t>
  </si>
  <si>
    <t>New</t>
  </si>
  <si>
    <t>NMI Botswana</t>
  </si>
  <si>
    <t>SAFDICO</t>
  </si>
  <si>
    <t>FSG</t>
  </si>
  <si>
    <t>JTTM</t>
  </si>
  <si>
    <t>Sedilege Hospital</t>
  </si>
  <si>
    <t>CA SALES</t>
  </si>
  <si>
    <t>SNAP Botswana</t>
  </si>
  <si>
    <t xml:space="preserve">Tswana Fuel </t>
  </si>
  <si>
    <t>Medupe Drilling</t>
  </si>
  <si>
    <t xml:space="preserve">TswanaGas </t>
  </si>
  <si>
    <t>AECI Botswana</t>
  </si>
  <si>
    <t>Taurus Batteries</t>
  </si>
  <si>
    <t>ZISMO</t>
  </si>
  <si>
    <t>Cross-roads</t>
  </si>
  <si>
    <t xml:space="preserve">USA Embassy </t>
  </si>
  <si>
    <t>Orthosurge Botswana</t>
  </si>
  <si>
    <t>Ipoletse Drilling</t>
  </si>
  <si>
    <t>Quick Gasses</t>
  </si>
  <si>
    <t>Baobab Primary School</t>
  </si>
  <si>
    <t>RNN</t>
  </si>
  <si>
    <t>Letlole la Rona</t>
  </si>
  <si>
    <t>Brkg Comm New Recurring</t>
  </si>
  <si>
    <t>Wellfield</t>
  </si>
  <si>
    <t>Letshego Financial Services</t>
  </si>
  <si>
    <t>BAC</t>
  </si>
  <si>
    <t>Turnstar</t>
  </si>
  <si>
    <t xml:space="preserve">Naletsana </t>
  </si>
  <si>
    <t>Macmillan Botswana Publishing Company</t>
  </si>
  <si>
    <t>Mascom Wireless</t>
  </si>
  <si>
    <t>Pack Codes</t>
  </si>
  <si>
    <t>Income Type</t>
  </si>
  <si>
    <t>Comments</t>
  </si>
  <si>
    <t>0425100 - Non Interco Brkg Comm  Renewal</t>
  </si>
  <si>
    <t>Renewals -Commission</t>
  </si>
  <si>
    <t>Linked to renewal book 2025</t>
  </si>
  <si>
    <t>0425110 - Brkg Comm New Recurring</t>
  </si>
  <si>
    <t>New Recurring Business - Commission</t>
  </si>
  <si>
    <t>Linked to new business and/or cross selling</t>
  </si>
  <si>
    <t>0425112 - Brkg Comm New Non-Recurring</t>
  </si>
  <si>
    <t>New Non Recurring Business - Commission</t>
  </si>
  <si>
    <t>0425200 - Fees - Standard</t>
  </si>
  <si>
    <t>Renewals - Fees</t>
  </si>
  <si>
    <t>0425210 - Brkg Fees New Recurring</t>
  </si>
  <si>
    <t>New Recurring Business - Fees</t>
  </si>
  <si>
    <t>0425212 - Brkg Fees New Non-Recurring</t>
  </si>
  <si>
    <t>New Non Recurring Business - Fees</t>
  </si>
  <si>
    <t>0425300 - Fees - Other</t>
  </si>
  <si>
    <t>Any other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</si>
</sst>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_ * #,##0_ ;_ * \-#,##0_ ;_ * &quot;-&quot;??_ ;_ @_ "/>
    <numFmt numFmtId="165" formatCode="#,##0.00%"/>
    <numFmt numFmtId="166" formatCode="#,##0,"/>
    <numFmt numFmtId="167" formatCode=" dd/mm/yyyy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3333ff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8"/>
      <color rgb="FF984807"/>
      <name val="Calibri"/>
      <family val="2"/>
    </font>
    <font>
      <sz val="8"/>
      <color rgb="FFe46c0a"/>
      <name val="Calibri"/>
      <family val="2"/>
    </font>
    <font>
      <sz val="8"/>
      <color rgb="FF80808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6"/>
      <color rgb="FFffffff"/>
      <name val="Calibri"/>
      <family val="2"/>
    </font>
    <font>
      <b/>
      <u/>
      <sz val="8"/>
      <color rgb="FF000000"/>
      <name val="Tahoma"/>
      <family val="2"/>
    </font>
    <font>
      <b/>
      <u/>
      <sz val="8"/>
      <color theme="1"/>
      <name val="Tahoma"/>
      <family val="2"/>
    </font>
    <font>
      <sz val="9"/>
      <color rgb="FF800000"/>
      <name val="Corbel"/>
      <family val="2"/>
    </font>
    <font>
      <sz val="9"/>
      <color rgb="FF000000"/>
      <name val="Corbel"/>
      <family val="2"/>
    </font>
    <font>
      <sz val="11"/>
      <color theme="1"/>
      <name val="Calibri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9"/>
      <color rgb="FFff0000"/>
      <name val="Corbel"/>
      <family val="2"/>
    </font>
    <font>
      <sz val="8"/>
      <color rgb="FFff0000"/>
      <name val="Tahoma"/>
      <family val="2"/>
    </font>
    <font>
      <sz val="9"/>
      <color theme="1"/>
      <name val="Corbel"/>
      <family val="2"/>
    </font>
    <font>
      <b/>
      <u/>
      <sz val="9"/>
      <color rgb="FF000000"/>
      <name val="Corbel"/>
      <family val="2"/>
    </font>
    <font>
      <sz val="8"/>
      <color rgb="FF000000"/>
      <name val="Arial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8"/>
      <color rgb="FF000000"/>
      <name val="Tahoma"/>
      <family val="2"/>
    </font>
    <font>
      <b/>
      <sz val="8"/>
      <color rgb="FF000000"/>
      <name val="Arial"/>
      <family val="2"/>
    </font>
    <font>
      <b/>
      <u/>
      <sz val="11"/>
      <color rgb="FF000000"/>
      <name val="Calibri"/>
      <family val="2"/>
    </font>
    <font>
      <sz val="11"/>
      <color rgb="FF000000"/>
      <name val="Corbel"/>
      <family val="2"/>
    </font>
    <font>
      <b/>
      <sz val="11"/>
      <color rgb="FF000000"/>
      <name val="Corbe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8eb4e3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dce6f2"/>
      </patternFill>
    </fill>
    <fill>
      <patternFill patternType="solid">
        <fgColor rgb="FFffffcc"/>
      </patternFill>
    </fill>
    <fill>
      <patternFill patternType="solid">
        <fgColor rgb="FFfcd5b5"/>
      </patternFill>
    </fill>
    <fill>
      <patternFill patternType="solid">
        <fgColor rgb="FF5dff5d"/>
      </patternFill>
    </fill>
    <fill>
      <patternFill patternType="solid">
        <fgColor rgb="FF1f497d"/>
      </patternFill>
    </fill>
    <fill>
      <patternFill patternType="solid">
        <fgColor rgb="FF92d050"/>
      </patternFill>
    </fill>
    <fill>
      <patternFill patternType="solid">
        <fgColor rgb="FF99ccff"/>
      </patternFill>
    </fill>
    <fill>
      <patternFill patternType="solid">
        <fgColor rgb="FFbfbfbf"/>
      </patternFill>
    </fill>
    <fill>
      <patternFill patternType="solid">
        <fgColor rgb="FFc6d9f1"/>
      </patternFill>
    </fill>
    <fill>
      <patternFill patternType="solid">
        <fgColor rgb="FF000080"/>
      </patternFill>
    </fill>
    <fill>
      <patternFill patternType="solid">
        <fgColor rgb="FF000000"/>
      </patternFill>
    </fill>
    <fill>
      <patternFill patternType="solid">
        <fgColor rgb="FF0070c0"/>
      </patternFill>
    </fill>
    <fill>
      <patternFill patternType="solid">
        <fgColor rgb="FFd99694"/>
      </patternFill>
    </fill>
    <fill>
      <patternFill patternType="solid">
        <fgColor rgb="FF95b3d7"/>
      </patternFill>
    </fill>
    <fill>
      <patternFill patternType="solid">
        <fgColor rgb="FFa6a6a6"/>
      </patternFill>
    </fill>
    <fill>
      <patternFill patternType="solid">
        <fgColor rgb="FF00b050"/>
      </patternFill>
    </fill>
    <fill>
      <patternFill patternType="solid">
        <fgColor rgb="FFfdeada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Dashed">
        <color rgb="FF000000"/>
      </left>
      <right style="thin">
        <color rgb="FFc6c6c6"/>
      </right>
      <top style="mediumDashed">
        <color rgb="FF000000"/>
      </top>
      <bottom style="mediumDashed">
        <color rgb="FF000000"/>
      </bottom>
      <diagonal/>
    </border>
    <border>
      <left style="thin">
        <color rgb="FFc6c6c6"/>
      </left>
      <right style="thin">
        <color rgb="FFc6c6c6"/>
      </right>
      <top style="mediumDashed">
        <color rgb="FF000000"/>
      </top>
      <bottom style="mediumDashed">
        <color rgb="FF000000"/>
      </bottom>
      <diagonal/>
    </border>
    <border>
      <left style="thin">
        <color rgb="FFc6c6c6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1" applyBorder="1" fontId="5" applyFont="1" fillId="0" applyAlignment="1">
      <alignment horizontal="center" wrapText="1"/>
    </xf>
    <xf xfId="0" numFmtId="0" borderId="2" applyBorder="1" fontId="5" applyFont="1" fillId="5" applyFill="1" applyAlignment="1">
      <alignment horizontal="center" wrapText="1"/>
    </xf>
    <xf xfId="0" numFmtId="3" applyNumberFormat="1" borderId="2" applyBorder="1" fontId="5" applyFont="1" fillId="5" applyFill="1" applyAlignment="1">
      <alignment horizontal="center" wrapText="1"/>
    </xf>
    <xf xfId="0" numFmtId="3" applyNumberFormat="1" borderId="2" applyBorder="1" fontId="5" applyFont="1" fillId="6" applyFill="1" applyAlignment="1">
      <alignment horizontal="center" wrapText="1"/>
    </xf>
    <xf xfId="0" numFmtId="0" borderId="4" applyBorder="1" fontId="6" applyFont="1" fillId="5" applyFill="1" applyAlignment="1">
      <alignment horizontal="left"/>
    </xf>
    <xf xfId="0" numFmtId="3" applyNumberFormat="1" borderId="5" applyBorder="1" fontId="7" applyFont="1" fillId="5" applyFill="1" applyAlignment="1">
      <alignment horizontal="right"/>
    </xf>
    <xf xfId="0" numFmtId="3" applyNumberFormat="1" borderId="6" applyBorder="1" fontId="7" applyFont="1" fillId="5" applyFill="1" applyAlignment="1">
      <alignment horizontal="right"/>
    </xf>
    <xf xfId="0" numFmtId="3" applyNumberFormat="1" borderId="2" applyBorder="1" fontId="3" applyFont="1" fillId="7" applyFill="1" applyAlignment="1">
      <alignment horizontal="left"/>
    </xf>
    <xf xfId="0" numFmtId="0" borderId="2" applyBorder="1" fontId="8" applyFont="1" fillId="8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2" applyBorder="1" fontId="1" applyFont="1" fillId="9" applyFill="1" applyAlignment="1">
      <alignment horizontal="left"/>
    </xf>
    <xf xfId="0" numFmtId="0" borderId="1" applyBorder="1" fontId="10" applyFont="1" fillId="0" applyAlignment="1">
      <alignment horizontal="left"/>
    </xf>
    <xf xfId="0" numFmtId="3" applyNumberFormat="1" borderId="1" applyBorder="1" fontId="10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0" borderId="7" applyBorder="1" fontId="11" applyFont="1" fillId="10" applyFill="1" applyAlignment="1">
      <alignment horizontal="left"/>
    </xf>
    <xf xfId="0" numFmtId="0" borderId="8" applyBorder="1" fontId="11" applyFont="1" fillId="10" applyFill="1" applyAlignment="1">
      <alignment horizontal="left"/>
    </xf>
    <xf xfId="0" numFmtId="164" applyNumberFormat="1" borderId="8" applyBorder="1" fontId="11" applyFont="1" fillId="10" applyFill="1" applyAlignment="1">
      <alignment horizontal="left"/>
    </xf>
    <xf xfId="0" numFmtId="164" applyNumberFormat="1" borderId="9" applyBorder="1" fontId="11" applyFont="1" fillId="10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3" applyNumberFormat="1" borderId="11" applyBorder="1" fontId="1" applyFont="1" fillId="3" applyFill="1" applyAlignment="1">
      <alignment horizontal="right"/>
    </xf>
    <xf xfId="0" numFmtId="3" applyNumberFormat="1" borderId="12" applyBorder="1" fontId="1" applyFont="1" fillId="3" applyFill="1" applyAlignment="1">
      <alignment horizontal="right"/>
    </xf>
    <xf xfId="0" numFmtId="3" applyNumberFormat="1" borderId="2" applyBorder="1" fontId="1" applyFont="1" fillId="11" applyFill="1" applyAlignment="1">
      <alignment horizontal="right"/>
    </xf>
    <xf xfId="0" numFmtId="0" borderId="13" applyBorder="1" fontId="1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right"/>
    </xf>
    <xf xfId="0" numFmtId="0" borderId="14" applyBorder="1" fontId="1" applyFont="1" fillId="3" applyFill="1" applyAlignment="1">
      <alignment horizontal="left"/>
    </xf>
    <xf xfId="0" numFmtId="0" borderId="15" applyBorder="1" fontId="1" applyFont="1" fillId="3" applyFill="1" applyAlignment="1">
      <alignment horizontal="left"/>
    </xf>
    <xf xfId="0" numFmtId="3" applyNumberFormat="1" borderId="15" applyBorder="1" fontId="1" applyFont="1" fillId="3" applyFill="1" applyAlignment="1">
      <alignment horizontal="right"/>
    </xf>
    <xf xfId="0" numFmtId="3" applyNumberFormat="1" borderId="16" applyBorder="1" fontId="1" applyFont="1" fillId="3" applyFill="1" applyAlignment="1">
      <alignment horizontal="right"/>
    </xf>
    <xf xfId="0" numFmtId="0" borderId="17" applyBorder="1" fontId="12" applyFont="1" fillId="12" applyFill="1" applyAlignment="1">
      <alignment horizontal="left"/>
    </xf>
    <xf xfId="0" numFmtId="0" borderId="2" applyBorder="1" fontId="1" applyFont="1" fillId="12" applyFill="1" applyAlignment="1">
      <alignment horizontal="left"/>
    </xf>
    <xf xfId="0" numFmtId="3" applyNumberFormat="1" borderId="2" applyBorder="1" fontId="13" applyFont="1" fillId="12" applyFill="1" applyAlignment="1">
      <alignment horizontal="right"/>
    </xf>
    <xf xfId="0" numFmtId="0" borderId="17" applyBorder="1" fontId="1" applyFont="1" fillId="12" applyFill="1" applyAlignment="1">
      <alignment horizontal="left"/>
    </xf>
    <xf xfId="0" numFmtId="0" borderId="2" applyBorder="1" fontId="1" applyFont="1" fillId="7" applyFill="1" applyAlignment="1">
      <alignment horizontal="left"/>
    </xf>
    <xf xfId="0" numFmtId="3" applyNumberFormat="1" borderId="2" applyBorder="1" fontId="13" applyFont="1" fillId="7" applyFill="1" applyAlignment="1">
      <alignment horizontal="right"/>
    </xf>
    <xf xfId="0" numFmtId="3" applyNumberFormat="1" borderId="2" applyBorder="1" fontId="1" applyFont="1" fillId="13" applyFill="1" applyAlignment="1">
      <alignment horizontal="right"/>
    </xf>
    <xf xfId="0" numFmtId="3" applyNumberFormat="1" borderId="2" applyBorder="1" fontId="1" applyFont="1" fillId="14" applyFill="1" applyAlignment="1">
      <alignment horizontal="right"/>
    </xf>
    <xf xfId="0" numFmtId="0" borderId="2" applyBorder="1" fontId="12" applyFont="1" fillId="15" applyFill="1" applyAlignment="1">
      <alignment horizontal="center"/>
    </xf>
    <xf xfId="0" numFmtId="0" borderId="2" applyBorder="1" fontId="11" applyFont="1" fillId="15" applyFill="1" applyAlignment="1">
      <alignment horizontal="center"/>
    </xf>
    <xf xfId="0" numFmtId="164" applyNumberFormat="1" borderId="2" applyBorder="1" fontId="11" applyFont="1" fillId="15" applyFill="1" applyAlignment="1">
      <alignment horizontal="center"/>
    </xf>
    <xf xfId="0" numFmtId="3" applyNumberFormat="1" borderId="2" applyBorder="1" fontId="11" applyFont="1" fillId="15" applyFill="1" applyAlignment="1">
      <alignment horizontal="center"/>
    </xf>
    <xf xfId="0" numFmtId="0" borderId="2" applyBorder="1" fontId="12" applyFont="1" fillId="15" applyFill="1" applyAlignment="1">
      <alignment horizontal="center"/>
    </xf>
    <xf xfId="0" numFmtId="0" borderId="2" applyBorder="1" fontId="11" applyFont="1" fillId="15" applyFill="1" applyAlignment="1">
      <alignment horizontal="center"/>
    </xf>
    <xf xfId="0" numFmtId="3" applyNumberFormat="1" borderId="2" applyBorder="1" fontId="1" applyFont="1" fillId="16" applyFill="1" applyAlignment="1">
      <alignment horizontal="right"/>
    </xf>
    <xf xfId="0" numFmtId="0" borderId="18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165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1" applyBorder="1" fontId="14" applyFont="1" fillId="0" applyAlignment="1">
      <alignment horizontal="left"/>
    </xf>
    <xf xfId="0" numFmtId="166" applyNumberFormat="1" borderId="0" fontId="0" fillId="0" applyAlignment="1">
      <alignment horizontal="left"/>
    </xf>
    <xf xfId="0" numFmtId="166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6" applyNumberFormat="1" borderId="2" applyBorder="1" fontId="14" applyFont="1" fillId="2" applyFill="1" applyAlignment="1">
      <alignment horizontal="left"/>
    </xf>
    <xf xfId="0" numFmtId="166" applyNumberFormat="1" borderId="1" applyBorder="1" fontId="1" applyFont="1" fillId="0" applyAlignment="1">
      <alignment horizontal="right"/>
    </xf>
    <xf xfId="0" numFmtId="166" applyNumberFormat="1" borderId="1" applyBorder="1" fontId="15" applyFont="1" fillId="0" applyAlignment="1">
      <alignment horizontal="left"/>
    </xf>
    <xf xfId="0" numFmtId="166" applyNumberFormat="1" borderId="1" applyBorder="1" fontId="16" applyFont="1" fillId="0" applyAlignment="1">
      <alignment horizontal="right"/>
    </xf>
    <xf xfId="0" numFmtId="166" applyNumberFormat="1" borderId="1" applyBorder="1" fontId="16" applyFont="1" fillId="0" applyAlignment="1">
      <alignment horizontal="left"/>
    </xf>
    <xf xfId="0" numFmtId="4" applyNumberFormat="1" borderId="1" applyBorder="1" fontId="16" applyFont="1" fillId="0" applyAlignment="1">
      <alignment horizontal="left"/>
    </xf>
    <xf xfId="0" numFmtId="166" applyNumberFormat="1" borderId="2" applyBorder="1" fontId="17" applyFont="1" fillId="17" applyFill="1" applyAlignment="1">
      <alignment horizontal="left"/>
    </xf>
    <xf xfId="0" numFmtId="166" applyNumberFormat="1" borderId="2" applyBorder="1" fontId="17" applyFont="1" fillId="17" applyFill="1" applyAlignment="1">
      <alignment horizontal="center"/>
    </xf>
    <xf xfId="0" numFmtId="166" applyNumberFormat="1" borderId="2" applyBorder="1" fontId="1" applyFont="1" fillId="18" applyFill="1" applyAlignment="1">
      <alignment horizontal="right"/>
    </xf>
    <xf xfId="0" numFmtId="166" applyNumberFormat="1" borderId="2" applyBorder="1" fontId="1" applyFont="1" fillId="19" applyFill="1" applyAlignment="1">
      <alignment horizontal="right"/>
    </xf>
    <xf xfId="0" numFmtId="166" applyNumberFormat="1" borderId="2" applyBorder="1" fontId="1" applyFont="1" fillId="2" applyFill="1" applyAlignment="1">
      <alignment horizontal="right"/>
    </xf>
    <xf xfId="0" numFmtId="166" applyNumberFormat="1" borderId="1" applyBorder="1" fontId="12" applyFont="1" fillId="0" applyAlignment="1">
      <alignment horizontal="center"/>
    </xf>
    <xf xfId="0" numFmtId="166" applyNumberFormat="1" borderId="1" applyBorder="1" fontId="12" applyFont="1" fillId="0" applyAlignment="1">
      <alignment horizontal="center" wrapText="1"/>
    </xf>
    <xf xfId="0" numFmtId="166" applyNumberFormat="1" borderId="2" applyBorder="1" fontId="12" applyFont="1" fillId="3" applyFill="1" applyAlignment="1">
      <alignment horizontal="center" wrapText="1"/>
    </xf>
    <xf xfId="0" numFmtId="0" borderId="1" applyBorder="1" fontId="12" applyFont="1" fillId="0" applyAlignment="1">
      <alignment horizontal="center" wrapText="1"/>
    </xf>
    <xf xfId="0" numFmtId="166" applyNumberFormat="1" borderId="2" applyBorder="1" fontId="1" applyFont="1" fillId="20" applyFill="1" applyAlignment="1">
      <alignment horizontal="center"/>
    </xf>
    <xf xfId="0" numFmtId="166" applyNumberFormat="1" borderId="2" applyBorder="1" fontId="1" applyFont="1" fillId="18" applyFill="1" applyAlignment="1">
      <alignment horizontal="center"/>
    </xf>
    <xf xfId="0" numFmtId="166" applyNumberFormat="1" borderId="2" applyBorder="1" fontId="1" applyFont="1" fillId="14" applyFill="1" applyAlignment="1">
      <alignment horizontal="center"/>
    </xf>
    <xf xfId="0" numFmtId="166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1" applyFill="1" applyAlignment="1">
      <alignment horizontal="right"/>
    </xf>
    <xf xfId="0" numFmtId="166" applyNumberFormat="1" borderId="1" applyBorder="1" fontId="1" applyFont="1" fillId="0" applyAlignment="1">
      <alignment horizontal="center"/>
    </xf>
    <xf xfId="0" numFmtId="166" applyNumberFormat="1" borderId="1" applyBorder="1" fontId="12" applyFont="1" fillId="0" applyAlignment="1">
      <alignment horizontal="left"/>
    </xf>
    <xf xfId="0" numFmtId="166" applyNumberFormat="1" borderId="2" applyBorder="1" fontId="12" applyFont="1" fillId="20" applyFill="1" applyAlignment="1">
      <alignment horizontal="right"/>
    </xf>
    <xf xfId="0" numFmtId="166" applyNumberFormat="1" borderId="1" applyBorder="1" fontId="1" applyFont="1" fillId="0" applyAlignment="1">
      <alignment horizontal="left"/>
    </xf>
    <xf xfId="0" numFmtId="166" applyNumberFormat="1" borderId="2" applyBorder="1" fontId="1" applyFont="1" fillId="20" applyFill="1" applyAlignment="1">
      <alignment horizontal="right"/>
    </xf>
    <xf xfId="0" numFmtId="166" applyNumberFormat="1" borderId="2" applyBorder="1" fontId="1" applyFont="1" fillId="21" applyFill="1" applyAlignment="1">
      <alignment horizontal="right"/>
    </xf>
    <xf xfId="0" numFmtId="166" applyNumberFormat="1" borderId="0" fontId="0" fillId="0" applyAlignment="1">
      <alignment horizontal="general"/>
    </xf>
    <xf xfId="0" numFmtId="166" applyNumberFormat="1" borderId="0" fontId="0" fillId="0" applyAlignment="1">
      <alignment horizontal="left"/>
    </xf>
    <xf xfId="0" numFmtId="4" applyNumberFormat="1" borderId="0" fontId="0" fillId="0" applyAlignment="1">
      <alignment horizontal="general"/>
    </xf>
    <xf xfId="0" numFmtId="0" borderId="1" applyBorder="1" fontId="18" applyFont="1" fillId="0" applyAlignment="1">
      <alignment horizontal="center"/>
    </xf>
    <xf xfId="0" numFmtId="167" applyNumberFormat="1" borderId="1" applyBorder="1" fontId="18" applyFont="1" fillId="0" applyAlignment="1">
      <alignment horizontal="center"/>
    </xf>
    <xf xfId="0" numFmtId="4" applyNumberFormat="1" borderId="1" applyBorder="1" fontId="18" applyFont="1" fillId="0" applyAlignment="1">
      <alignment horizontal="center"/>
    </xf>
    <xf xfId="0" numFmtId="4" applyNumberFormat="1" borderId="1" applyBorder="1" fontId="18" applyFont="1" fillId="0" applyAlignment="1">
      <alignment horizontal="right"/>
    </xf>
    <xf xfId="0" numFmtId="0" borderId="1" applyBorder="1" fontId="19" applyFont="1" fillId="0" applyAlignment="1">
      <alignment horizontal="center"/>
    </xf>
    <xf xfId="0" numFmtId="0" borderId="1" applyBorder="1" fontId="20" applyFont="1" fillId="0" applyAlignment="1">
      <alignment horizontal="left"/>
    </xf>
    <xf xfId="0" numFmtId="0" borderId="1" applyBorder="1" fontId="21" applyFont="1" fillId="0" applyAlignment="1">
      <alignment horizontal="left"/>
    </xf>
    <xf xfId="0" numFmtId="0" borderId="1" applyBorder="1" fontId="21" applyFont="1" fillId="0" applyAlignment="1">
      <alignment horizontal="center"/>
    </xf>
    <xf xfId="0" numFmtId="167" applyNumberFormat="1" borderId="1" applyBorder="1" fontId="21" applyFont="1" fillId="0" applyAlignment="1">
      <alignment horizontal="left"/>
    </xf>
    <xf xfId="0" numFmtId="4" applyNumberFormat="1" borderId="1" applyBorder="1" fontId="21" applyFont="1" fillId="0" applyAlignment="1">
      <alignment horizontal="right"/>
    </xf>
    <xf xfId="0" numFmtId="4" applyNumberFormat="1" borderId="1" applyBorder="1" fontId="21" applyFont="1" fillId="0" applyAlignment="1">
      <alignment horizontal="left"/>
    </xf>
    <xf xfId="0" numFmtId="0" borderId="1" applyBorder="1" fontId="22" applyFont="1" fillId="0" applyAlignment="1">
      <alignment horizontal="left"/>
    </xf>
    <xf xfId="0" numFmtId="0" borderId="1" applyBorder="1" fontId="23" applyFont="1" fillId="0" applyAlignment="1">
      <alignment horizontal="right"/>
    </xf>
    <xf xfId="0" numFmtId="4" applyNumberFormat="1" borderId="1" applyBorder="1" fontId="24" applyFont="1" fillId="0" applyAlignment="1">
      <alignment horizontal="right"/>
    </xf>
    <xf xfId="0" numFmtId="4" applyNumberFormat="1" borderId="2" applyBorder="1" fontId="21" applyFont="1" fillId="7" applyFill="1" applyAlignment="1">
      <alignment horizontal="right"/>
    </xf>
    <xf xfId="0" numFmtId="0" borderId="1" applyBorder="1" fontId="25" applyFont="1" fillId="0" applyAlignment="1">
      <alignment horizontal="left"/>
    </xf>
    <xf xfId="0" numFmtId="0" borderId="1" applyBorder="1" fontId="25" applyFont="1" fillId="0" applyAlignment="1">
      <alignment horizontal="center"/>
    </xf>
    <xf xfId="0" numFmtId="167" applyNumberFormat="1" borderId="1" applyBorder="1" fontId="25" applyFont="1" fillId="0" applyAlignment="1">
      <alignment horizontal="left"/>
    </xf>
    <xf xfId="0" numFmtId="4" applyNumberFormat="1" borderId="1" applyBorder="1" fontId="25" applyFont="1" fillId="0" applyAlignment="1">
      <alignment horizontal="right"/>
    </xf>
    <xf xfId="0" numFmtId="4" applyNumberFormat="1" borderId="1" applyBorder="1" fontId="25" applyFont="1" fillId="0" applyAlignment="1">
      <alignment horizontal="left"/>
    </xf>
    <xf xfId="0" numFmtId="0" borderId="1" applyBorder="1" fontId="26" applyFont="1" fillId="0" applyAlignment="1">
      <alignment horizontal="right"/>
    </xf>
    <xf xfId="0" numFmtId="4" applyNumberFormat="1" borderId="1" applyBorder="1" fontId="26" applyFont="1" fillId="0" applyAlignment="1">
      <alignment horizontal="right"/>
    </xf>
    <xf xfId="0" numFmtId="0" borderId="1" applyBorder="1" fontId="27" applyFont="1" fillId="0" applyAlignment="1">
      <alignment horizontal="left"/>
    </xf>
    <xf xfId="0" numFmtId="167" applyNumberFormat="1" borderId="1" applyBorder="1" fontId="28" applyFont="1" fillId="0" applyAlignment="1">
      <alignment horizontal="center"/>
    </xf>
    <xf xfId="0" numFmtId="4" applyNumberFormat="1" borderId="1" applyBorder="1" fontId="28" applyFont="1" fillId="0" applyAlignment="1">
      <alignment horizontal="center"/>
    </xf>
    <xf xfId="0" numFmtId="4" applyNumberFormat="1" borderId="1" applyBorder="1" fontId="28" applyFont="1" fillId="0" applyAlignment="1">
      <alignment horizontal="right"/>
    </xf>
    <xf xfId="0" numFmtId="4" applyNumberFormat="1" borderId="2" applyBorder="1" fontId="25" applyFont="1" fillId="2" applyFill="1" applyAlignment="1">
      <alignment horizontal="right"/>
    </xf>
    <xf xfId="0" numFmtId="0" borderId="1" applyBorder="1" fontId="27" applyFont="1" fillId="0" applyAlignment="1">
      <alignment horizontal="center"/>
    </xf>
    <xf xfId="0" numFmtId="167" applyNumberFormat="1" borderId="1" applyBorder="1" fontId="27" applyFont="1" fillId="0" applyAlignment="1">
      <alignment horizontal="left"/>
    </xf>
    <xf xfId="0" numFmtId="4" applyNumberFormat="1" borderId="1" applyBorder="1" fontId="27" applyFont="1" fillId="0" applyAlignment="1">
      <alignment horizontal="right"/>
    </xf>
    <xf xfId="0" numFmtId="4" applyNumberFormat="1" borderId="1" applyBorder="1" fontId="27" applyFont="1" fillId="0" applyAlignment="1">
      <alignment horizontal="left"/>
    </xf>
    <xf xfId="0" numFmtId="4" applyNumberFormat="1" borderId="1" applyBorder="1" fontId="23" applyFont="1" fillId="0" applyAlignment="1">
      <alignment horizontal="right"/>
    </xf>
    <xf xfId="0" numFmtId="4" applyNumberFormat="1" borderId="2" applyBorder="1" fontId="21" applyFont="1" fillId="22" applyFill="1" applyAlignment="1">
      <alignment horizontal="right"/>
    </xf>
    <xf xfId="0" numFmtId="3" applyNumberFormat="1" borderId="1" applyBorder="1" fontId="21" applyFont="1" fillId="0" applyAlignment="1">
      <alignment horizontal="right"/>
    </xf>
    <xf xfId="0" numFmtId="0" borderId="19" applyBorder="1" fontId="21" applyFont="1" fillId="0" applyAlignment="1">
      <alignment horizontal="left"/>
    </xf>
    <xf xfId="0" numFmtId="4" applyNumberFormat="1" borderId="2" applyBorder="1" fontId="21" applyFont="1" fillId="2" applyFill="1" applyAlignment="1">
      <alignment horizontal="right"/>
    </xf>
    <xf xfId="0" numFmtId="0" borderId="1" applyBorder="1" fontId="24" applyFont="1" fillId="0" applyAlignment="1">
      <alignment horizontal="center"/>
    </xf>
    <xf xfId="0" numFmtId="167" applyNumberFormat="1" borderId="1" applyBorder="1" fontId="24" applyFont="1" fillId="0" applyAlignment="1">
      <alignment horizontal="left"/>
    </xf>
    <xf xfId="0" numFmtId="4" applyNumberFormat="1" borderId="1" applyBorder="1" fontId="29" applyFont="1" fillId="0" applyAlignment="1">
      <alignment horizontal="right"/>
    </xf>
    <xf xfId="0" numFmtId="0" borderId="1" applyBorder="1" fontId="24" applyFont="1" fillId="0" applyAlignment="1">
      <alignment horizontal="left"/>
    </xf>
    <xf xfId="0" numFmtId="4" applyNumberFormat="1" borderId="1" applyBorder="1" fontId="30" applyFont="1" fillId="0" applyAlignment="1">
      <alignment horizontal="right"/>
    </xf>
    <xf xfId="0" numFmtId="0" borderId="1" applyBorder="1" fontId="31" applyFont="1" fillId="0" applyAlignment="1">
      <alignment horizontal="left"/>
    </xf>
    <xf xfId="0" numFmtId="167" applyNumberFormat="1" borderId="1" applyBorder="1" fontId="31" applyFont="1" fillId="0" applyAlignment="1">
      <alignment horizontal="left"/>
    </xf>
    <xf xfId="0" numFmtId="4" applyNumberFormat="1" borderId="1" applyBorder="1" fontId="31" applyFont="1" fillId="0" applyAlignment="1">
      <alignment horizontal="left"/>
    </xf>
    <xf xfId="0" numFmtId="0" borderId="1" applyBorder="1" fontId="32" applyFont="1" fillId="0" applyAlignment="1">
      <alignment horizontal="left"/>
    </xf>
    <xf xfId="0" numFmtId="0" borderId="1" applyBorder="1" fontId="33" applyFont="1" fillId="0" applyAlignment="1">
      <alignment horizontal="left"/>
    </xf>
    <xf xfId="0" numFmtId="4" applyNumberFormat="1" borderId="1" applyBorder="1" fontId="34" applyFont="1" fillId="0" applyAlignment="1">
      <alignment horizontal="right"/>
    </xf>
    <xf xfId="0" numFmtId="4" applyNumberFormat="1" borderId="1" applyBorder="1" fontId="35" applyFont="1" fillId="0" applyAlignment="1">
      <alignment horizontal="right"/>
    </xf>
    <xf xfId="0" numFmtId="4" applyNumberFormat="1" borderId="20" applyBorder="1" fontId="34" applyFont="1" fillId="0" applyAlignment="1">
      <alignment horizontal="right"/>
    </xf>
    <xf xfId="0" numFmtId="4" applyNumberFormat="1" borderId="1" applyBorder="1" fontId="24" applyFont="1" fillId="0" applyAlignment="1">
      <alignment horizontal="left"/>
    </xf>
    <xf xfId="0" numFmtId="167" applyNumberFormat="1" borderId="0" fontId="0" fillId="0" applyAlignment="1">
      <alignment horizontal="general"/>
    </xf>
    <xf xfId="0" numFmtId="0" borderId="1" applyBorder="1" fontId="36" applyFont="1" fillId="0" applyAlignment="1">
      <alignment horizontal="left"/>
    </xf>
    <xf xfId="0" numFmtId="4" applyNumberFormat="1" borderId="1" applyBorder="1" fontId="36" applyFont="1" fillId="0" applyAlignment="1">
      <alignment horizontal="left"/>
    </xf>
    <xf xfId="0" numFmtId="0" borderId="18" applyBorder="1" fontId="37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37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4" applyNumberFormat="1" borderId="1" applyBorder="1" fontId="37" applyFont="1" fillId="0" applyAlignment="1">
      <alignment horizontal="left"/>
    </xf>
    <xf xfId="0" numFmtId="0" borderId="1" applyBorder="1" fontId="38" applyFont="1" fillId="0" applyAlignment="1">
      <alignment horizontal="left"/>
    </xf>
    <xf xfId="0" numFmtId="4" applyNumberFormat="1" borderId="20" applyBorder="1" fontId="12" applyFont="1" fillId="0" applyAlignment="1">
      <alignment horizontal="right"/>
    </xf>
    <xf xfId="0" numFmtId="0" borderId="1" applyBorder="1" fontId="1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1"/>
  <sheetViews>
    <sheetView workbookViewId="0"/>
  </sheetViews>
  <sheetFormatPr defaultRowHeight="15" x14ac:dyDescent="0.25"/>
  <cols>
    <col min="1" max="1" style="6" width="42.86214285714286" customWidth="1" bestFit="1"/>
    <col min="2" max="2" style="108" width="13.576428571428572" customWidth="1" bestFit="1"/>
    <col min="3" max="3" style="108" width="11.576428571428572" customWidth="1" bestFit="1"/>
    <col min="4" max="4" style="108" width="12.147857142857141" customWidth="1" bestFit="1"/>
    <col min="5" max="5" style="108" width="13.147857142857141" customWidth="1" bestFit="1"/>
    <col min="6" max="6" style="108" width="16.862142857142857" customWidth="1" bestFit="1"/>
    <col min="7" max="7" style="108" width="16.862142857142857" customWidth="1" bestFit="1"/>
    <col min="8" max="8" style="108" width="16.862142857142857" customWidth="1" bestFit="1"/>
    <col min="9" max="9" style="108" width="14.43357142857143" customWidth="1" bestFit="1"/>
    <col min="10" max="10" style="108" width="13.862142857142858" customWidth="1" bestFit="1"/>
    <col min="11" max="11" style="108" width="12.862142857142858" customWidth="1" bestFit="1"/>
    <col min="12" max="12" style="108" width="11.147857142857141" customWidth="1" bestFit="1"/>
    <col min="13" max="13" style="108" width="12.005" customWidth="1" bestFit="1"/>
    <col min="14" max="14" style="108" width="15.005" customWidth="1" bestFit="1"/>
    <col min="15" max="15" style="6" width="17.433571428571426" customWidth="1" bestFit="1"/>
    <col min="16" max="16" style="6" width="13.576428571428572" customWidth="1" bestFit="1"/>
  </cols>
  <sheetData>
    <row x14ac:dyDescent="0.25" r="1" customHeight="1" ht="18.75">
      <c r="A1" s="160" t="s">
        <v>1602</v>
      </c>
      <c r="B1" s="161" t="s">
        <v>1163</v>
      </c>
      <c r="C1" s="161" t="s">
        <v>1164</v>
      </c>
      <c r="D1" s="161" t="s">
        <v>1165</v>
      </c>
      <c r="E1" s="161" t="s">
        <v>1166</v>
      </c>
      <c r="F1" s="161" t="s">
        <v>5</v>
      </c>
      <c r="G1" s="161" t="s">
        <v>1167</v>
      </c>
      <c r="H1" s="161" t="s">
        <v>1168</v>
      </c>
      <c r="I1" s="161" t="s">
        <v>1169</v>
      </c>
      <c r="J1" s="161" t="s">
        <v>1170</v>
      </c>
      <c r="K1" s="161" t="s">
        <v>1171</v>
      </c>
      <c r="L1" s="161" t="s">
        <v>1172</v>
      </c>
      <c r="M1" s="161" t="s">
        <v>1173</v>
      </c>
      <c r="N1" s="161" t="s">
        <v>17</v>
      </c>
      <c r="O1" s="160" t="s">
        <v>1603</v>
      </c>
      <c r="P1" s="160" t="s">
        <v>1604</v>
      </c>
    </row>
    <row x14ac:dyDescent="0.25" r="2" customHeight="1" ht="29.5">
      <c r="A2" s="162" t="s">
        <v>1605</v>
      </c>
      <c r="B2" s="163">
        <f>'Renewal book 2026'!J171</f>
      </c>
      <c r="C2" s="163">
        <v>526071.83</v>
      </c>
      <c r="D2" s="163">
        <v>850734.25</v>
      </c>
      <c r="E2" s="163">
        <f>'Renewal book 2026'!M171</f>
      </c>
      <c r="F2" s="163">
        <v>90142.61</v>
      </c>
      <c r="G2" s="164">
        <v>483904.91</v>
      </c>
      <c r="H2" s="163">
        <v>1317800.85</v>
      </c>
      <c r="I2" s="163">
        <f>'Renewal book 2026'!Q171</f>
      </c>
      <c r="J2" s="163">
        <v>32133.87</v>
      </c>
      <c r="K2" s="163">
        <v>927417.03</v>
      </c>
      <c r="L2" s="163">
        <v>291525.47</v>
      </c>
      <c r="M2" s="163">
        <v>42412.87</v>
      </c>
      <c r="N2" s="163">
        <f>SUM(B2:M2)</f>
      </c>
      <c r="O2" s="165" t="s">
        <v>1606</v>
      </c>
      <c r="P2" s="1" t="s">
        <v>1607</v>
      </c>
    </row>
    <row x14ac:dyDescent="0.25" r="3" customHeight="1" ht="29.5">
      <c r="A3" s="162" t="s">
        <v>1608</v>
      </c>
      <c r="B3" s="164"/>
      <c r="C3" s="164">
        <v>230000</v>
      </c>
      <c r="D3" s="164">
        <v>0</v>
      </c>
      <c r="E3" s="164">
        <v>0</v>
      </c>
      <c r="F3" s="164">
        <v>456683.69</v>
      </c>
      <c r="G3" s="164">
        <v>180000</v>
      </c>
      <c r="H3" s="164">
        <v>74000</v>
      </c>
      <c r="I3" s="164">
        <v>0</v>
      </c>
      <c r="J3" s="164">
        <v>748234.8</v>
      </c>
      <c r="K3" s="164">
        <v>100000</v>
      </c>
      <c r="L3" s="164">
        <v>440734.8</v>
      </c>
      <c r="M3" s="164">
        <v>234051.09</v>
      </c>
      <c r="N3" s="164">
        <f>SUM(B3:M3)</f>
      </c>
      <c r="O3" s="165" t="s">
        <v>1609</v>
      </c>
      <c r="P3" s="1" t="s">
        <v>1610</v>
      </c>
    </row>
    <row x14ac:dyDescent="0.25" r="4" customHeight="1" ht="29.5">
      <c r="A4" s="162" t="s">
        <v>1611</v>
      </c>
      <c r="B4" s="166"/>
      <c r="C4" s="166"/>
      <c r="D4" s="166"/>
      <c r="E4" s="166"/>
      <c r="F4" s="166"/>
      <c r="G4" s="166"/>
      <c r="H4" s="166"/>
      <c r="I4" s="163"/>
      <c r="J4" s="163"/>
      <c r="K4" s="163"/>
      <c r="L4" s="163"/>
      <c r="M4" s="163"/>
      <c r="N4" s="163"/>
      <c r="O4" s="165" t="s">
        <v>1612</v>
      </c>
      <c r="P4" s="1" t="s">
        <v>1610</v>
      </c>
    </row>
    <row x14ac:dyDescent="0.25" r="5" customHeight="1" ht="29.5">
      <c r="A5" s="162" t="s">
        <v>1613</v>
      </c>
      <c r="B5" s="166"/>
      <c r="C5" s="166"/>
      <c r="D5" s="166"/>
      <c r="E5" s="166"/>
      <c r="F5" s="166"/>
      <c r="G5" s="166"/>
      <c r="H5" s="166"/>
      <c r="I5" s="163"/>
      <c r="J5" s="163"/>
      <c r="K5" s="163"/>
      <c r="L5" s="163"/>
      <c r="M5" s="163"/>
      <c r="N5" s="163"/>
      <c r="O5" s="165" t="s">
        <v>1614</v>
      </c>
      <c r="P5" s="1"/>
    </row>
    <row x14ac:dyDescent="0.25" r="6" customHeight="1" ht="29.5">
      <c r="A6" s="162" t="s">
        <v>1615</v>
      </c>
      <c r="B6" s="166"/>
      <c r="C6" s="166"/>
      <c r="D6" s="166"/>
      <c r="E6" s="166"/>
      <c r="F6" s="166"/>
      <c r="G6" s="166"/>
      <c r="H6" s="166"/>
      <c r="I6" s="163"/>
      <c r="J6" s="163"/>
      <c r="K6" s="163"/>
      <c r="L6" s="163"/>
      <c r="M6" s="163"/>
      <c r="N6" s="163"/>
      <c r="O6" s="165" t="s">
        <v>1616</v>
      </c>
      <c r="P6" s="1" t="s">
        <v>1610</v>
      </c>
    </row>
    <row x14ac:dyDescent="0.25" r="7" customHeight="1" ht="29.5">
      <c r="A7" s="162" t="s">
        <v>1617</v>
      </c>
      <c r="B7" s="166"/>
      <c r="C7" s="166"/>
      <c r="D7" s="166"/>
      <c r="E7" s="166"/>
      <c r="F7" s="166"/>
      <c r="G7" s="166"/>
      <c r="H7" s="166"/>
      <c r="I7" s="163"/>
      <c r="J7" s="163"/>
      <c r="K7" s="163"/>
      <c r="L7" s="163"/>
      <c r="M7" s="163"/>
      <c r="N7" s="163"/>
      <c r="O7" s="165" t="s">
        <v>1618</v>
      </c>
      <c r="P7" s="1" t="s">
        <v>1610</v>
      </c>
    </row>
    <row x14ac:dyDescent="0.25" r="8" customHeight="1" ht="18.75">
      <c r="A8" s="162" t="s">
        <v>1619</v>
      </c>
      <c r="B8" s="166"/>
      <c r="C8" s="166"/>
      <c r="D8" s="166"/>
      <c r="E8" s="166"/>
      <c r="F8" s="166"/>
      <c r="G8" s="166"/>
      <c r="H8" s="166"/>
      <c r="I8" s="163"/>
      <c r="J8" s="163"/>
      <c r="K8" s="163"/>
      <c r="L8" s="163"/>
      <c r="M8" s="163"/>
      <c r="N8" s="163"/>
      <c r="O8" s="165" t="s">
        <v>1620</v>
      </c>
      <c r="P8" s="1" t="s">
        <v>1607</v>
      </c>
    </row>
    <row x14ac:dyDescent="0.25" r="9" customHeight="1" ht="18.75">
      <c r="A9" s="1"/>
      <c r="B9" s="79"/>
      <c r="C9" s="79"/>
      <c r="D9" s="79"/>
      <c r="E9" s="79"/>
      <c r="F9" s="79"/>
      <c r="G9" s="79"/>
      <c r="H9" s="79"/>
      <c r="I9" s="163"/>
      <c r="J9" s="163"/>
      <c r="K9" s="163"/>
      <c r="L9" s="163"/>
      <c r="M9" s="163"/>
      <c r="N9" s="79"/>
      <c r="O9" s="1"/>
      <c r="P9" s="1"/>
    </row>
    <row x14ac:dyDescent="0.25" r="10" customHeight="1" ht="18.75">
      <c r="A10" s="167" t="s">
        <v>17</v>
      </c>
      <c r="B10" s="168">
        <f>SUM(B2:B8)</f>
      </c>
      <c r="C10" s="168">
        <f>SUM(C2:C8)</f>
      </c>
      <c r="D10" s="168">
        <f>SUM(D2:D8)</f>
      </c>
      <c r="E10" s="168">
        <f>SUM(E2:E8)</f>
      </c>
      <c r="F10" s="168">
        <f>SUM(F2:F8)</f>
      </c>
      <c r="G10" s="168">
        <f>SUM(G2:G8)</f>
      </c>
      <c r="H10" s="168">
        <f>SUM(H2:H9)</f>
      </c>
      <c r="I10" s="168">
        <f>SUM(I2:I8)</f>
      </c>
      <c r="J10" s="168">
        <f>SUM(J2:J8)</f>
      </c>
      <c r="K10" s="168">
        <f>SUM(K2:K8)</f>
      </c>
      <c r="L10" s="168">
        <f>SUM(L2:L8)</f>
      </c>
      <c r="M10" s="168">
        <f>SUM(M2:M8)</f>
      </c>
      <c r="N10" s="168">
        <f>SUM(N2:N8)</f>
      </c>
      <c r="O10" s="169"/>
      <c r="P10" s="1"/>
    </row>
    <row x14ac:dyDescent="0.25" r="11" customHeight="1" ht="18.75">
      <c r="A11" s="1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1"/>
      <c r="P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529"/>
  <sheetViews>
    <sheetView workbookViewId="0" tabSelected="1"/>
  </sheetViews>
  <sheetFormatPr defaultRowHeight="15" x14ac:dyDescent="0.25"/>
  <cols>
    <col min="1" max="1" style="6" width="27.290714285714284" customWidth="1" bestFit="1"/>
    <col min="2" max="2" style="6" width="47.43357142857143" customWidth="1" bestFit="1"/>
    <col min="3" max="3" style="6" width="13.576428571428572" customWidth="1" bestFit="1" hidden="1"/>
    <col min="4" max="4" style="159" width="13.576428571428572" customWidth="1" bestFit="1" hidden="1"/>
    <col min="5" max="5" style="159" width="13.576428571428572" customWidth="1" bestFit="1" hidden="1"/>
    <col min="6" max="6" style="108" width="13.576428571428572" customWidth="1" bestFit="1" hidden="1"/>
    <col min="7" max="7" style="108" width="13.576428571428572" customWidth="1" bestFit="1" hidden="1"/>
    <col min="8" max="8" style="108" width="13.576428571428572" customWidth="1" bestFit="1" hidden="1"/>
    <col min="9" max="9" style="108" width="13.576428571428572" customWidth="1" bestFit="1" hidden="1"/>
    <col min="10" max="10" style="108" width="11.862142857142858" customWidth="1" bestFit="1"/>
    <col min="11" max="11" style="108" width="10.576428571428572" customWidth="1" bestFit="1"/>
    <col min="12" max="12" style="108" width="12.43357142857143" customWidth="1" bestFit="1"/>
    <col min="13" max="13" style="108" width="12.576428571428572" customWidth="1" bestFit="1"/>
    <col min="14" max="14" style="108" width="13.005" customWidth="1" bestFit="1"/>
    <col min="15" max="15" style="108" width="13.005" customWidth="1" bestFit="1"/>
    <col min="16" max="16" style="108" width="12.43357142857143" customWidth="1" bestFit="1"/>
    <col min="17" max="17" style="108" width="12.862142857142858" customWidth="1" bestFit="1"/>
    <col min="18" max="18" style="108" width="10.862142857142858" customWidth="1" bestFit="1"/>
    <col min="19" max="19" style="108" width="10.862142857142858" customWidth="1" bestFit="1"/>
    <col min="20" max="20" style="108" width="10.147857142857141" customWidth="1" bestFit="1"/>
    <col min="21" max="21" style="108" width="10.005" customWidth="1" bestFit="1"/>
    <col min="22" max="22" style="108" width="13.576428571428572" customWidth="1" bestFit="1"/>
    <col min="23" max="23" style="6" width="31.433571428571426" customWidth="1" bestFit="1"/>
    <col min="24" max="24" style="6" width="13.576428571428572" customWidth="1" bestFit="1"/>
    <col min="25" max="25" style="6" width="13.576428571428572" customWidth="1" bestFit="1"/>
  </cols>
  <sheetData>
    <row x14ac:dyDescent="0.25" r="1" customHeight="1" ht="18.75">
      <c r="A1" s="1" t="s">
        <v>1154</v>
      </c>
      <c r="B1" s="109" t="s">
        <v>1155</v>
      </c>
      <c r="C1" s="109" t="s">
        <v>1156</v>
      </c>
      <c r="D1" s="110" t="s">
        <v>1157</v>
      </c>
      <c r="E1" s="110" t="s">
        <v>1158</v>
      </c>
      <c r="F1" s="111" t="s">
        <v>1159</v>
      </c>
      <c r="G1" s="111" t="s">
        <v>1160</v>
      </c>
      <c r="H1" s="111" t="s">
        <v>1161</v>
      </c>
      <c r="I1" s="112" t="s">
        <v>1162</v>
      </c>
      <c r="J1" s="111" t="s">
        <v>1163</v>
      </c>
      <c r="K1" s="111" t="s">
        <v>1164</v>
      </c>
      <c r="L1" s="111" t="s">
        <v>1165</v>
      </c>
      <c r="M1" s="111" t="s">
        <v>1166</v>
      </c>
      <c r="N1" s="111" t="s">
        <v>5</v>
      </c>
      <c r="O1" s="111" t="s">
        <v>1167</v>
      </c>
      <c r="P1" s="111" t="s">
        <v>1168</v>
      </c>
      <c r="Q1" s="111" t="s">
        <v>1169</v>
      </c>
      <c r="R1" s="111" t="s">
        <v>1170</v>
      </c>
      <c r="S1" s="111" t="s">
        <v>1171</v>
      </c>
      <c r="T1" s="111" t="s">
        <v>1172</v>
      </c>
      <c r="U1" s="111" t="s">
        <v>1173</v>
      </c>
      <c r="V1" s="111" t="s">
        <v>17</v>
      </c>
      <c r="W1" s="113" t="s">
        <v>1174</v>
      </c>
      <c r="X1" s="1"/>
      <c r="Y1" s="1"/>
    </row>
    <row x14ac:dyDescent="0.25" r="2" customHeight="1" ht="19.5">
      <c r="A2" s="114" t="s">
        <v>1175</v>
      </c>
      <c r="B2" s="115" t="s">
        <v>1176</v>
      </c>
      <c r="C2" s="116" t="s">
        <v>1177</v>
      </c>
      <c r="D2" s="117">
        <v>45324</v>
      </c>
      <c r="E2" s="117">
        <v>45383</v>
      </c>
      <c r="F2" s="118">
        <v>14144.74</v>
      </c>
      <c r="G2" s="118">
        <v>2828.95</v>
      </c>
      <c r="H2" s="118">
        <v>0</v>
      </c>
      <c r="I2" s="118">
        <v>0</v>
      </c>
      <c r="J2" s="119"/>
      <c r="K2" s="119"/>
      <c r="L2" s="119"/>
      <c r="M2" s="118">
        <v>2828.95</v>
      </c>
      <c r="N2" s="119"/>
      <c r="O2" s="119"/>
      <c r="P2" s="119"/>
      <c r="Q2" s="119"/>
      <c r="R2" s="119"/>
      <c r="S2" s="119"/>
      <c r="T2" s="119"/>
      <c r="U2" s="119"/>
      <c r="V2" s="118">
        <f>SUM(J2:U2)</f>
      </c>
      <c r="W2" s="120" t="s">
        <v>1178</v>
      </c>
      <c r="X2" s="1"/>
      <c r="Y2" s="1"/>
    </row>
    <row x14ac:dyDescent="0.25" r="3" customHeight="1" ht="18.75">
      <c r="A3" s="114" t="s">
        <v>1179</v>
      </c>
      <c r="B3" s="115" t="s">
        <v>1180</v>
      </c>
      <c r="C3" s="116"/>
      <c r="D3" s="117"/>
      <c r="E3" s="117"/>
      <c r="F3" s="118"/>
      <c r="G3" s="118"/>
      <c r="H3" s="118"/>
      <c r="I3" s="118"/>
      <c r="J3" s="119"/>
      <c r="K3" s="119"/>
      <c r="L3" s="119"/>
      <c r="M3" s="118"/>
      <c r="N3" s="119"/>
      <c r="O3" s="119"/>
      <c r="P3" s="119"/>
      <c r="Q3" s="119"/>
      <c r="R3" s="119"/>
      <c r="S3" s="119"/>
      <c r="T3" s="119"/>
      <c r="U3" s="118">
        <v>3070.18</v>
      </c>
      <c r="V3" s="118">
        <f>SUM(J3:U3)</f>
      </c>
      <c r="W3" s="121" t="s">
        <v>1178</v>
      </c>
      <c r="X3" s="122"/>
      <c r="Y3" s="122"/>
    </row>
    <row x14ac:dyDescent="0.25" r="4" customHeight="1" ht="18.75">
      <c r="A4" s="114" t="s">
        <v>1181</v>
      </c>
      <c r="B4" s="115" t="s">
        <v>1182</v>
      </c>
      <c r="C4" s="116" t="s">
        <v>1183</v>
      </c>
      <c r="D4" s="117">
        <v>45352</v>
      </c>
      <c r="E4" s="117">
        <v>45352</v>
      </c>
      <c r="F4" s="118">
        <v>177893.12</v>
      </c>
      <c r="G4" s="118">
        <v>22236.64</v>
      </c>
      <c r="H4" s="118">
        <v>0</v>
      </c>
      <c r="I4" s="118">
        <v>0</v>
      </c>
      <c r="J4" s="119"/>
      <c r="K4" s="119"/>
      <c r="L4" s="118">
        <v>22236.64</v>
      </c>
      <c r="M4" s="119"/>
      <c r="N4" s="119"/>
      <c r="O4" s="119"/>
      <c r="P4" s="118">
        <v>34178.55</v>
      </c>
      <c r="Q4" s="119"/>
      <c r="R4" s="119"/>
      <c r="S4" s="119"/>
      <c r="T4" s="119"/>
      <c r="U4" s="119"/>
      <c r="V4" s="118">
        <f>SUM(J4:U4)</f>
      </c>
      <c r="W4" s="121" t="s">
        <v>1178</v>
      </c>
      <c r="X4" s="122"/>
      <c r="Y4" s="122"/>
    </row>
    <row x14ac:dyDescent="0.25" r="5" customHeight="1" ht="18.75">
      <c r="A5" s="114" t="s">
        <v>1184</v>
      </c>
      <c r="B5" s="115" t="s">
        <v>1185</v>
      </c>
      <c r="C5" s="116" t="s">
        <v>1186</v>
      </c>
      <c r="D5" s="117">
        <v>45496</v>
      </c>
      <c r="E5" s="117">
        <v>45474</v>
      </c>
      <c r="F5" s="118">
        <v>2279.61</v>
      </c>
      <c r="G5" s="118">
        <v>455.92</v>
      </c>
      <c r="H5" s="118">
        <v>0</v>
      </c>
      <c r="I5" s="118">
        <v>0</v>
      </c>
      <c r="J5" s="119"/>
      <c r="K5" s="119"/>
      <c r="L5" s="119"/>
      <c r="M5" s="119"/>
      <c r="N5" s="119"/>
      <c r="O5" s="119"/>
      <c r="P5" s="118">
        <v>455.92</v>
      </c>
      <c r="Q5" s="119"/>
      <c r="R5" s="119"/>
      <c r="S5" s="119"/>
      <c r="T5" s="119"/>
      <c r="U5" s="119"/>
      <c r="V5" s="118">
        <f>SUM(J5:U5)</f>
      </c>
      <c r="W5" s="121" t="s">
        <v>1178</v>
      </c>
      <c r="X5" s="122"/>
      <c r="Y5" s="122"/>
    </row>
    <row x14ac:dyDescent="0.25" r="6" customHeight="1" ht="18.75">
      <c r="A6" s="114" t="s">
        <v>1187</v>
      </c>
      <c r="B6" s="115" t="s">
        <v>1188</v>
      </c>
      <c r="C6" s="116"/>
      <c r="D6" s="117"/>
      <c r="E6" s="117"/>
      <c r="F6" s="118"/>
      <c r="G6" s="118"/>
      <c r="H6" s="118"/>
      <c r="I6" s="118"/>
      <c r="J6" s="119"/>
      <c r="K6" s="119"/>
      <c r="L6" s="119"/>
      <c r="M6" s="119"/>
      <c r="N6" s="119"/>
      <c r="O6" s="119"/>
      <c r="P6" s="119"/>
      <c r="Q6" s="118"/>
      <c r="R6" s="119"/>
      <c r="S6" s="118">
        <v>4518</v>
      </c>
      <c r="T6" s="118"/>
      <c r="U6" s="118"/>
      <c r="V6" s="118">
        <f>SUM(J6:U6)</f>
      </c>
      <c r="W6" s="121" t="s">
        <v>1178</v>
      </c>
      <c r="X6" s="122"/>
      <c r="Y6" s="122"/>
    </row>
    <row x14ac:dyDescent="0.25" r="7" customHeight="1" ht="18.75">
      <c r="A7" s="114" t="s">
        <v>1189</v>
      </c>
      <c r="B7" s="115" t="s">
        <v>1190</v>
      </c>
      <c r="C7" s="116" t="s">
        <v>1191</v>
      </c>
      <c r="D7" s="117">
        <v>45377</v>
      </c>
      <c r="E7" s="117">
        <v>45352</v>
      </c>
      <c r="F7" s="118">
        <v>35198.020000000004</v>
      </c>
      <c r="G7" s="118">
        <v>4399.75</v>
      </c>
      <c r="H7" s="118">
        <v>0</v>
      </c>
      <c r="I7" s="118">
        <v>0</v>
      </c>
      <c r="J7" s="119"/>
      <c r="K7" s="119"/>
      <c r="L7" s="118">
        <v>19051.47</v>
      </c>
      <c r="M7" s="119"/>
      <c r="N7" s="119"/>
      <c r="O7" s="119"/>
      <c r="P7" s="119"/>
      <c r="Q7" s="119"/>
      <c r="R7" s="119"/>
      <c r="S7" s="119"/>
      <c r="T7" s="119"/>
      <c r="U7" s="119"/>
      <c r="V7" s="118">
        <f>SUM(J7:U7)</f>
      </c>
      <c r="W7" s="121" t="s">
        <v>1178</v>
      </c>
      <c r="X7" s="122"/>
      <c r="Y7" s="122"/>
    </row>
    <row x14ac:dyDescent="0.25" r="8" customHeight="1" ht="18.75">
      <c r="A8" s="114" t="s">
        <v>1192</v>
      </c>
      <c r="B8" s="115" t="s">
        <v>1193</v>
      </c>
      <c r="C8" s="116"/>
      <c r="D8" s="117"/>
      <c r="E8" s="117"/>
      <c r="F8" s="118"/>
      <c r="G8" s="118"/>
      <c r="H8" s="118"/>
      <c r="I8" s="118"/>
      <c r="J8" s="119"/>
      <c r="K8" s="119"/>
      <c r="L8" s="119"/>
      <c r="M8" s="119"/>
      <c r="N8" s="119"/>
      <c r="O8" s="119"/>
      <c r="P8" s="119"/>
      <c r="Q8" s="118">
        <v>19980.24</v>
      </c>
      <c r="R8" s="118"/>
      <c r="S8" s="118">
        <v>130000</v>
      </c>
      <c r="T8" s="118"/>
      <c r="U8" s="118"/>
      <c r="V8" s="118">
        <f>SUM(J8:U8)</f>
      </c>
      <c r="W8" s="121" t="s">
        <v>1178</v>
      </c>
      <c r="X8" s="122"/>
      <c r="Y8" s="122"/>
    </row>
    <row x14ac:dyDescent="0.25" r="9" customHeight="1" ht="18.75">
      <c r="A9" s="114" t="s">
        <v>1194</v>
      </c>
      <c r="B9" s="115" t="s">
        <v>1195</v>
      </c>
      <c r="C9" s="116" t="s">
        <v>1196</v>
      </c>
      <c r="D9" s="117">
        <v>45299</v>
      </c>
      <c r="E9" s="117">
        <v>45292</v>
      </c>
      <c r="F9" s="118">
        <v>3658.62</v>
      </c>
      <c r="G9" s="118">
        <v>731.72</v>
      </c>
      <c r="H9" s="118">
        <v>0</v>
      </c>
      <c r="I9" s="118">
        <v>0</v>
      </c>
      <c r="J9" s="118">
        <v>731.72</v>
      </c>
      <c r="K9" s="118">
        <v>731.72</v>
      </c>
      <c r="L9" s="118">
        <v>731.72</v>
      </c>
      <c r="M9" s="118">
        <v>731.72</v>
      </c>
      <c r="N9" s="118">
        <v>731.72</v>
      </c>
      <c r="O9" s="118">
        <v>731.72</v>
      </c>
      <c r="P9" s="118">
        <v>731.72</v>
      </c>
      <c r="Q9" s="118">
        <v>731.72</v>
      </c>
      <c r="R9" s="118">
        <v>731.72</v>
      </c>
      <c r="S9" s="118">
        <v>731.72</v>
      </c>
      <c r="T9" s="118">
        <v>731.72</v>
      </c>
      <c r="U9" s="118">
        <v>731.72</v>
      </c>
      <c r="V9" s="118">
        <f>SUM(J9:U9)</f>
      </c>
      <c r="W9" s="121" t="s">
        <v>1178</v>
      </c>
      <c r="X9" s="122"/>
      <c r="Y9" s="122"/>
    </row>
    <row x14ac:dyDescent="0.25" r="10" customHeight="1" ht="18.75">
      <c r="A10" s="114" t="s">
        <v>1197</v>
      </c>
      <c r="B10" s="115" t="s">
        <v>1198</v>
      </c>
      <c r="C10" s="116" t="s">
        <v>1199</v>
      </c>
      <c r="D10" s="117">
        <v>45447</v>
      </c>
      <c r="E10" s="117">
        <v>45444</v>
      </c>
      <c r="F10" s="118">
        <v>13596.49</v>
      </c>
      <c r="G10" s="118">
        <v>2719.3</v>
      </c>
      <c r="H10" s="118">
        <v>0</v>
      </c>
      <c r="I10" s="118">
        <v>0</v>
      </c>
      <c r="J10" s="119"/>
      <c r="K10" s="119"/>
      <c r="L10" s="119"/>
      <c r="M10" s="119"/>
      <c r="N10" s="119"/>
      <c r="O10" s="123">
        <v>262600</v>
      </c>
      <c r="P10" s="119"/>
      <c r="Q10" s="119"/>
      <c r="R10" s="119"/>
      <c r="S10" s="119"/>
      <c r="T10" s="119"/>
      <c r="U10" s="119"/>
      <c r="V10" s="118">
        <f>SUM(J10:U10)</f>
      </c>
      <c r="W10" s="121" t="s">
        <v>1178</v>
      </c>
      <c r="X10" s="122"/>
      <c r="Y10" s="122"/>
    </row>
    <row x14ac:dyDescent="0.25" r="11" customHeight="1" ht="18.75">
      <c r="A11" s="114" t="s">
        <v>1200</v>
      </c>
      <c r="B11" s="115" t="s">
        <v>1201</v>
      </c>
      <c r="C11" s="116" t="s">
        <v>1202</v>
      </c>
      <c r="D11" s="117">
        <v>45327</v>
      </c>
      <c r="E11" s="117">
        <v>45292</v>
      </c>
      <c r="F11" s="118">
        <v>15131.58</v>
      </c>
      <c r="G11" s="118">
        <v>3026.32</v>
      </c>
      <c r="H11" s="118">
        <v>0</v>
      </c>
      <c r="I11" s="118">
        <v>0</v>
      </c>
      <c r="J11" s="118">
        <v>3026.32</v>
      </c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8">
        <f>SUM(J11:U11)</f>
      </c>
      <c r="W11" s="121" t="s">
        <v>1178</v>
      </c>
      <c r="X11" s="122"/>
      <c r="Y11" s="122"/>
    </row>
    <row x14ac:dyDescent="0.25" r="12" customHeight="1" ht="18.75">
      <c r="A12" s="114" t="s">
        <v>1203</v>
      </c>
      <c r="B12" s="115" t="s">
        <v>1204</v>
      </c>
      <c r="C12" s="116" t="s">
        <v>1205</v>
      </c>
      <c r="D12" s="117">
        <v>45323</v>
      </c>
      <c r="E12" s="117">
        <v>45322</v>
      </c>
      <c r="F12" s="118">
        <v>912.45</v>
      </c>
      <c r="G12" s="118">
        <v>182.49</v>
      </c>
      <c r="H12" s="118">
        <v>0</v>
      </c>
      <c r="I12" s="118">
        <v>0</v>
      </c>
      <c r="J12" s="118"/>
      <c r="K12" s="119"/>
      <c r="L12" s="119"/>
      <c r="M12" s="119"/>
      <c r="N12" s="119"/>
      <c r="O12" s="119"/>
      <c r="P12" s="119"/>
      <c r="Q12" s="118">
        <v>30852.83</v>
      </c>
      <c r="R12" s="119"/>
      <c r="S12" s="119"/>
      <c r="T12" s="119"/>
      <c r="U12" s="119"/>
      <c r="V12" s="118">
        <f>SUM(J12:U12)</f>
      </c>
      <c r="W12" s="121" t="s">
        <v>1178</v>
      </c>
      <c r="X12" s="122"/>
      <c r="Y12" s="122"/>
    </row>
    <row x14ac:dyDescent="0.25" r="13" customHeight="1" ht="18.75">
      <c r="A13" s="124" t="s">
        <v>1206</v>
      </c>
      <c r="B13" s="124" t="s">
        <v>1207</v>
      </c>
      <c r="C13" s="125" t="s">
        <v>1208</v>
      </c>
      <c r="D13" s="126">
        <v>45320</v>
      </c>
      <c r="E13" s="126">
        <v>45292</v>
      </c>
      <c r="F13" s="127">
        <v>166027.09</v>
      </c>
      <c r="G13" s="127">
        <v>33205.42</v>
      </c>
      <c r="H13" s="127">
        <v>0</v>
      </c>
      <c r="I13" s="127">
        <v>0</v>
      </c>
      <c r="J13" s="127">
        <v>56000</v>
      </c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7">
        <f>SUM(J13:U13)</f>
      </c>
      <c r="W13" s="121" t="s">
        <v>1178</v>
      </c>
      <c r="X13" s="122"/>
      <c r="Y13" s="122"/>
    </row>
    <row x14ac:dyDescent="0.25" r="14" customHeight="1" ht="18.75">
      <c r="A14" s="124" t="s">
        <v>1209</v>
      </c>
      <c r="B14" s="124" t="s">
        <v>1210</v>
      </c>
      <c r="C14" s="125" t="s">
        <v>1211</v>
      </c>
      <c r="D14" s="126">
        <v>45301</v>
      </c>
      <c r="E14" s="126">
        <v>45292</v>
      </c>
      <c r="F14" s="127">
        <v>508367.69</v>
      </c>
      <c r="G14" s="127">
        <v>101673.54</v>
      </c>
      <c r="H14" s="127">
        <v>0</v>
      </c>
      <c r="I14" s="127">
        <v>0</v>
      </c>
      <c r="J14" s="127">
        <v>30000</v>
      </c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7">
        <f>SUM(J14:U14)</f>
      </c>
      <c r="W14" s="121" t="s">
        <v>1178</v>
      </c>
      <c r="X14" s="122"/>
      <c r="Y14" s="122"/>
    </row>
    <row x14ac:dyDescent="0.25" r="15" customHeight="1" ht="18.75">
      <c r="A15" s="114" t="s">
        <v>1212</v>
      </c>
      <c r="B15" s="115" t="s">
        <v>1213</v>
      </c>
      <c r="C15" s="116" t="s">
        <v>1214</v>
      </c>
      <c r="D15" s="117">
        <v>45390</v>
      </c>
      <c r="E15" s="117">
        <v>45383</v>
      </c>
      <c r="F15" s="118">
        <v>13873.99</v>
      </c>
      <c r="G15" s="118">
        <v>2774.8</v>
      </c>
      <c r="H15" s="118">
        <v>0</v>
      </c>
      <c r="I15" s="118">
        <v>0</v>
      </c>
      <c r="J15" s="119"/>
      <c r="K15" s="119"/>
      <c r="L15" s="119"/>
      <c r="M15" s="118">
        <v>2774.8</v>
      </c>
      <c r="N15" s="119"/>
      <c r="O15" s="119"/>
      <c r="P15" s="119"/>
      <c r="Q15" s="119"/>
      <c r="R15" s="119"/>
      <c r="S15" s="119"/>
      <c r="T15" s="119"/>
      <c r="U15" s="119"/>
      <c r="V15" s="118">
        <f>SUM(J15:U15)</f>
      </c>
      <c r="W15" s="121" t="s">
        <v>1178</v>
      </c>
      <c r="X15" s="122"/>
      <c r="Y15" s="122"/>
    </row>
    <row x14ac:dyDescent="0.25" r="16" customHeight="1" ht="18.75">
      <c r="A16" s="114" t="s">
        <v>1215</v>
      </c>
      <c r="B16" s="115" t="s">
        <v>1216</v>
      </c>
      <c r="C16" s="116" t="s">
        <v>1217</v>
      </c>
      <c r="D16" s="117">
        <v>45394</v>
      </c>
      <c r="E16" s="117">
        <v>45383</v>
      </c>
      <c r="F16" s="118">
        <v>12105.26</v>
      </c>
      <c r="G16" s="118">
        <v>2421.05</v>
      </c>
      <c r="H16" s="118">
        <v>0</v>
      </c>
      <c r="I16" s="118">
        <v>0</v>
      </c>
      <c r="J16" s="119"/>
      <c r="K16" s="119"/>
      <c r="L16" s="119"/>
      <c r="M16" s="118">
        <v>2421.05</v>
      </c>
      <c r="N16" s="119"/>
      <c r="O16" s="119"/>
      <c r="P16" s="119"/>
      <c r="Q16" s="119"/>
      <c r="R16" s="119"/>
      <c r="S16" s="119"/>
      <c r="T16" s="119"/>
      <c r="U16" s="119"/>
      <c r="V16" s="118">
        <f>SUM(J16:U16)</f>
      </c>
      <c r="W16" s="121" t="s">
        <v>1178</v>
      </c>
      <c r="X16" s="122"/>
      <c r="Y16" s="122"/>
    </row>
    <row x14ac:dyDescent="0.25" r="17" customHeight="1" ht="18.75">
      <c r="A17" s="114" t="s">
        <v>1218</v>
      </c>
      <c r="B17" s="115" t="s">
        <v>1219</v>
      </c>
      <c r="C17" s="116" t="s">
        <v>1220</v>
      </c>
      <c r="D17" s="117">
        <v>45341</v>
      </c>
      <c r="E17" s="117">
        <v>45323</v>
      </c>
      <c r="F17" s="118">
        <v>137560.28</v>
      </c>
      <c r="G17" s="118">
        <v>27512.06</v>
      </c>
      <c r="H17" s="118">
        <v>0</v>
      </c>
      <c r="I17" s="118">
        <v>0</v>
      </c>
      <c r="J17" s="119"/>
      <c r="K17" s="118">
        <v>18223.31</v>
      </c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8">
        <f>SUM(J17:U17)</f>
      </c>
      <c r="W17" s="121" t="s">
        <v>1178</v>
      </c>
      <c r="X17" s="122"/>
      <c r="Y17" s="122"/>
    </row>
    <row x14ac:dyDescent="0.25" r="18" customHeight="1" ht="18.75">
      <c r="A18" s="114" t="s">
        <v>1221</v>
      </c>
      <c r="B18" s="115" t="s">
        <v>1222</v>
      </c>
      <c r="C18" s="116" t="s">
        <v>1223</v>
      </c>
      <c r="D18" s="117">
        <v>45530</v>
      </c>
      <c r="E18" s="117">
        <v>45505</v>
      </c>
      <c r="F18" s="118">
        <v>129736.11</v>
      </c>
      <c r="G18" s="118">
        <v>16217.01</v>
      </c>
      <c r="H18" s="118">
        <v>0</v>
      </c>
      <c r="I18" s="118">
        <v>0</v>
      </c>
      <c r="J18" s="119"/>
      <c r="K18" s="119"/>
      <c r="L18" s="119"/>
      <c r="M18" s="119"/>
      <c r="N18" s="119"/>
      <c r="O18" s="119"/>
      <c r="P18" s="119"/>
      <c r="Q18" s="118">
        <v>98283.34</v>
      </c>
      <c r="R18" s="119"/>
      <c r="S18" s="119"/>
      <c r="T18" s="119"/>
      <c r="U18" s="119"/>
      <c r="V18" s="118">
        <f>SUM(J18:U18)</f>
      </c>
      <c r="W18" s="121" t="s">
        <v>1178</v>
      </c>
      <c r="X18" s="122"/>
      <c r="Y18" s="122"/>
    </row>
    <row x14ac:dyDescent="0.25" r="19" customHeight="1" ht="18.75">
      <c r="A19" s="114" t="s">
        <v>1224</v>
      </c>
      <c r="B19" s="115" t="s">
        <v>1225</v>
      </c>
      <c r="C19" s="116" t="s">
        <v>1226</v>
      </c>
      <c r="D19" s="117">
        <v>45372</v>
      </c>
      <c r="E19" s="117">
        <v>45383</v>
      </c>
      <c r="F19" s="118">
        <v>8106.34</v>
      </c>
      <c r="G19" s="118">
        <v>1621.27</v>
      </c>
      <c r="H19" s="118">
        <v>0</v>
      </c>
      <c r="I19" s="118">
        <v>0</v>
      </c>
      <c r="J19" s="119"/>
      <c r="K19" s="119"/>
      <c r="L19" s="119"/>
      <c r="M19" s="118">
        <v>1621.27</v>
      </c>
      <c r="N19" s="119"/>
      <c r="O19" s="119"/>
      <c r="P19" s="119"/>
      <c r="Q19" s="119"/>
      <c r="R19" s="119"/>
      <c r="S19" s="119"/>
      <c r="T19" s="119"/>
      <c r="U19" s="119"/>
      <c r="V19" s="118">
        <f>SUM(J19:U19)</f>
      </c>
      <c r="W19" s="121" t="s">
        <v>1178</v>
      </c>
      <c r="X19" s="122"/>
      <c r="Y19" s="122"/>
    </row>
    <row x14ac:dyDescent="0.25" r="20" customHeight="1" ht="18.75">
      <c r="A20" s="124" t="s">
        <v>1227</v>
      </c>
      <c r="B20" s="124" t="s">
        <v>1228</v>
      </c>
      <c r="C20" s="125" t="s">
        <v>1229</v>
      </c>
      <c r="D20" s="126">
        <v>45385</v>
      </c>
      <c r="E20" s="126">
        <v>45383</v>
      </c>
      <c r="F20" s="127">
        <v>684867.19</v>
      </c>
      <c r="G20" s="127">
        <v>136973.44</v>
      </c>
      <c r="H20" s="127">
        <v>0</v>
      </c>
      <c r="I20" s="127">
        <v>0</v>
      </c>
      <c r="J20" s="128"/>
      <c r="K20" s="128"/>
      <c r="L20" s="128"/>
      <c r="M20" s="127">
        <v>100000</v>
      </c>
      <c r="N20" s="128"/>
      <c r="O20" s="128"/>
      <c r="P20" s="128"/>
      <c r="Q20" s="128"/>
      <c r="R20" s="128"/>
      <c r="S20" s="128"/>
      <c r="T20" s="128"/>
      <c r="U20" s="128"/>
      <c r="V20" s="127">
        <f>SUM(J20:U20)</f>
      </c>
      <c r="W20" s="121" t="s">
        <v>1178</v>
      </c>
      <c r="X20" s="122"/>
      <c r="Y20" s="122"/>
    </row>
    <row x14ac:dyDescent="0.25" r="21" customHeight="1" ht="18.75">
      <c r="A21" s="114" t="s">
        <v>1230</v>
      </c>
      <c r="B21" s="115" t="s">
        <v>1231</v>
      </c>
      <c r="C21" s="116" t="s">
        <v>1232</v>
      </c>
      <c r="D21" s="117">
        <v>45506</v>
      </c>
      <c r="E21" s="117">
        <v>45505</v>
      </c>
      <c r="F21" s="118">
        <v>138481.02</v>
      </c>
      <c r="G21" s="118">
        <v>27696.2</v>
      </c>
      <c r="H21" s="118">
        <v>0</v>
      </c>
      <c r="I21" s="118">
        <v>0</v>
      </c>
      <c r="J21" s="119"/>
      <c r="K21" s="119"/>
      <c r="L21" s="119"/>
      <c r="M21" s="119"/>
      <c r="N21" s="119"/>
      <c r="O21" s="119"/>
      <c r="P21" s="119"/>
      <c r="Q21" s="118">
        <v>39187.59</v>
      </c>
      <c r="R21" s="119"/>
      <c r="S21" s="119"/>
      <c r="T21" s="119"/>
      <c r="U21" s="119"/>
      <c r="V21" s="118">
        <f>SUM(J21:U21)</f>
      </c>
      <c r="W21" s="121" t="s">
        <v>1178</v>
      </c>
      <c r="X21" s="122"/>
      <c r="Y21" s="122"/>
    </row>
    <row x14ac:dyDescent="0.25" r="22" customHeight="1" ht="18.75">
      <c r="A22" s="114" t="s">
        <v>1233</v>
      </c>
      <c r="B22" s="115" t="s">
        <v>1234</v>
      </c>
      <c r="C22" s="116" t="s">
        <v>1235</v>
      </c>
      <c r="D22" s="117">
        <v>45510</v>
      </c>
      <c r="E22" s="117">
        <v>45505</v>
      </c>
      <c r="F22" s="118">
        <v>150520.2</v>
      </c>
      <c r="G22" s="118">
        <v>30104.04</v>
      </c>
      <c r="H22" s="118">
        <v>0</v>
      </c>
      <c r="I22" s="118">
        <v>0</v>
      </c>
      <c r="J22" s="119"/>
      <c r="K22" s="119"/>
      <c r="L22" s="119"/>
      <c r="M22" s="119"/>
      <c r="N22" s="119"/>
      <c r="O22" s="119"/>
      <c r="P22" s="119"/>
      <c r="Q22" s="118">
        <v>40858.67</v>
      </c>
      <c r="R22" s="119"/>
      <c r="S22" s="119"/>
      <c r="T22" s="119"/>
      <c r="U22" s="119"/>
      <c r="V22" s="118">
        <f>SUM(J22:U22)</f>
      </c>
      <c r="W22" s="121" t="s">
        <v>1178</v>
      </c>
      <c r="X22" s="122"/>
      <c r="Y22" s="122"/>
    </row>
    <row x14ac:dyDescent="0.25" r="23" customHeight="1" ht="18.75">
      <c r="A23" s="114" t="s">
        <v>1236</v>
      </c>
      <c r="B23" s="115" t="s">
        <v>1237</v>
      </c>
      <c r="C23" s="116" t="s">
        <v>1238</v>
      </c>
      <c r="D23" s="117">
        <v>45530</v>
      </c>
      <c r="E23" s="117">
        <v>45505</v>
      </c>
      <c r="F23" s="118">
        <v>479334.88</v>
      </c>
      <c r="G23" s="118">
        <v>95866.98</v>
      </c>
      <c r="H23" s="118">
        <v>0</v>
      </c>
      <c r="I23" s="118">
        <v>0</v>
      </c>
      <c r="J23" s="119"/>
      <c r="K23" s="119"/>
      <c r="L23" s="119"/>
      <c r="M23" s="119"/>
      <c r="N23" s="119"/>
      <c r="O23" s="119"/>
      <c r="P23" s="119"/>
      <c r="Q23" s="123">
        <v>123611</v>
      </c>
      <c r="R23" s="119"/>
      <c r="S23" s="119"/>
      <c r="T23" s="119"/>
      <c r="U23" s="119"/>
      <c r="V23" s="118">
        <f>SUM(J23:U23)</f>
      </c>
      <c r="W23" s="121" t="s">
        <v>1178</v>
      </c>
      <c r="X23" s="122"/>
      <c r="Y23" s="122"/>
    </row>
    <row x14ac:dyDescent="0.25" r="24" customHeight="1" ht="18.75">
      <c r="A24" s="114" t="s">
        <v>1239</v>
      </c>
      <c r="B24" s="115" t="s">
        <v>1240</v>
      </c>
      <c r="C24" s="116" t="s">
        <v>1241</v>
      </c>
      <c r="D24" s="117">
        <v>45460</v>
      </c>
      <c r="E24" s="117">
        <v>45460</v>
      </c>
      <c r="F24" s="118">
        <v>6380.17</v>
      </c>
      <c r="G24" s="118">
        <v>1276.03</v>
      </c>
      <c r="H24" s="118">
        <v>0</v>
      </c>
      <c r="I24" s="118">
        <v>0</v>
      </c>
      <c r="J24" s="119"/>
      <c r="K24" s="119"/>
      <c r="L24" s="119"/>
      <c r="M24" s="119"/>
      <c r="N24" s="119"/>
      <c r="O24" s="118">
        <v>1276.03</v>
      </c>
      <c r="P24" s="119"/>
      <c r="Q24" s="119"/>
      <c r="R24" s="119"/>
      <c r="S24" s="118">
        <v>3301.11</v>
      </c>
      <c r="T24" s="119"/>
      <c r="U24" s="119"/>
      <c r="V24" s="118">
        <f>SUM(J24:U24)</f>
      </c>
      <c r="W24" s="121" t="s">
        <v>1178</v>
      </c>
      <c r="X24" s="122"/>
      <c r="Y24" s="122"/>
    </row>
    <row x14ac:dyDescent="0.25" r="25" customHeight="1" ht="18.75">
      <c r="A25" s="114" t="s">
        <v>1242</v>
      </c>
      <c r="B25" s="115" t="s">
        <v>1243</v>
      </c>
      <c r="C25" s="116" t="s">
        <v>1244</v>
      </c>
      <c r="D25" s="117">
        <v>45300</v>
      </c>
      <c r="E25" s="117">
        <v>45205</v>
      </c>
      <c r="F25" s="118">
        <v>253564.68</v>
      </c>
      <c r="G25" s="118">
        <v>50712.94</v>
      </c>
      <c r="H25" s="118">
        <v>0</v>
      </c>
      <c r="I25" s="118">
        <v>0</v>
      </c>
      <c r="J25" s="118">
        <v>0</v>
      </c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8">
        <f>SUM(J25:U25)</f>
      </c>
      <c r="W25" s="121" t="s">
        <v>1178</v>
      </c>
      <c r="X25" s="122"/>
      <c r="Y25" s="122"/>
    </row>
    <row x14ac:dyDescent="0.25" r="26" customHeight="1" ht="18.75">
      <c r="A26" s="124" t="s">
        <v>1245</v>
      </c>
      <c r="B26" s="124" t="s">
        <v>1246</v>
      </c>
      <c r="C26" s="125" t="s">
        <v>1247</v>
      </c>
      <c r="D26" s="126">
        <v>45394</v>
      </c>
      <c r="E26" s="126">
        <v>45383</v>
      </c>
      <c r="F26" s="127">
        <v>9026.32</v>
      </c>
      <c r="G26" s="127">
        <v>1805.26</v>
      </c>
      <c r="H26" s="127">
        <v>0</v>
      </c>
      <c r="I26" s="127">
        <v>0</v>
      </c>
      <c r="J26" s="128"/>
      <c r="K26" s="128"/>
      <c r="L26" s="128"/>
      <c r="M26" s="127">
        <v>40000</v>
      </c>
      <c r="N26" s="128"/>
      <c r="O26" s="128"/>
      <c r="P26" s="128"/>
      <c r="Q26" s="128"/>
      <c r="R26" s="128"/>
      <c r="S26" s="128"/>
      <c r="T26" s="128"/>
      <c r="U26" s="128"/>
      <c r="V26" s="127">
        <f>SUM(J26:U26)</f>
      </c>
      <c r="W26" s="129" t="s">
        <v>1178</v>
      </c>
      <c r="X26" s="130"/>
      <c r="Y26" s="130"/>
    </row>
    <row x14ac:dyDescent="0.25" r="27" customHeight="1" ht="18.75">
      <c r="A27" s="114" t="s">
        <v>1248</v>
      </c>
      <c r="B27" s="115" t="s">
        <v>1249</v>
      </c>
      <c r="C27" s="116" t="s">
        <v>1250</v>
      </c>
      <c r="D27" s="117">
        <v>45364</v>
      </c>
      <c r="E27" s="117">
        <v>45383</v>
      </c>
      <c r="F27" s="118">
        <v>13690.44</v>
      </c>
      <c r="G27" s="118">
        <v>2738.09</v>
      </c>
      <c r="H27" s="118">
        <v>0</v>
      </c>
      <c r="I27" s="118">
        <v>0</v>
      </c>
      <c r="J27" s="119"/>
      <c r="K27" s="119"/>
      <c r="L27" s="119"/>
      <c r="M27" s="118">
        <v>2738.09</v>
      </c>
      <c r="N27" s="119"/>
      <c r="O27" s="119"/>
      <c r="P27" s="119"/>
      <c r="Q27" s="119"/>
      <c r="R27" s="119"/>
      <c r="S27" s="119"/>
      <c r="T27" s="119"/>
      <c r="U27" s="119"/>
      <c r="V27" s="118">
        <f>SUM(J27:U27)</f>
      </c>
      <c r="W27" s="121" t="s">
        <v>1178</v>
      </c>
      <c r="X27" s="122"/>
      <c r="Y27" s="122"/>
    </row>
    <row x14ac:dyDescent="0.25" r="28" customHeight="1" ht="18.75">
      <c r="A28" s="114" t="s">
        <v>1251</v>
      </c>
      <c r="B28" s="115" t="s">
        <v>1252</v>
      </c>
      <c r="C28" s="116" t="s">
        <v>1253</v>
      </c>
      <c r="D28" s="117">
        <v>45387</v>
      </c>
      <c r="E28" s="117">
        <v>45383</v>
      </c>
      <c r="F28" s="118">
        <v>33832.770000000004</v>
      </c>
      <c r="G28" s="118">
        <v>4229.1</v>
      </c>
      <c r="H28" s="118">
        <v>0</v>
      </c>
      <c r="I28" s="118">
        <v>0</v>
      </c>
      <c r="J28" s="119"/>
      <c r="K28" s="119"/>
      <c r="L28" s="119"/>
      <c r="M28" s="118">
        <v>106216.13</v>
      </c>
      <c r="N28" s="119"/>
      <c r="O28" s="119"/>
      <c r="P28" s="119"/>
      <c r="Q28" s="119"/>
      <c r="R28" s="119"/>
      <c r="S28" s="119"/>
      <c r="T28" s="119"/>
      <c r="U28" s="119"/>
      <c r="V28" s="118">
        <f>SUM(J28:U28)</f>
      </c>
      <c r="W28" s="121" t="s">
        <v>1178</v>
      </c>
      <c r="X28" s="122"/>
      <c r="Y28" s="122"/>
    </row>
    <row x14ac:dyDescent="0.25" r="29" customHeight="1" ht="18.75">
      <c r="A29" s="114" t="s">
        <v>1254</v>
      </c>
      <c r="B29" s="115" t="s">
        <v>1255</v>
      </c>
      <c r="C29" s="116" t="s">
        <v>1256</v>
      </c>
      <c r="D29" s="117">
        <v>45460</v>
      </c>
      <c r="E29" s="117">
        <v>45383</v>
      </c>
      <c r="F29" s="118">
        <v>14815.16</v>
      </c>
      <c r="G29" s="118">
        <v>2963.03</v>
      </c>
      <c r="H29" s="118">
        <v>0</v>
      </c>
      <c r="I29" s="118">
        <v>0</v>
      </c>
      <c r="J29" s="119"/>
      <c r="K29" s="119"/>
      <c r="L29" s="119"/>
      <c r="M29" s="118">
        <v>2963.03</v>
      </c>
      <c r="N29" s="119"/>
      <c r="O29" s="119"/>
      <c r="P29" s="119"/>
      <c r="Q29" s="119"/>
      <c r="R29" s="119"/>
      <c r="S29" s="119"/>
      <c r="T29" s="127">
        <v>0</v>
      </c>
      <c r="U29" s="119"/>
      <c r="V29" s="118">
        <f>SUM(J29:U29)</f>
      </c>
      <c r="W29" s="121" t="s">
        <v>1178</v>
      </c>
      <c r="X29" s="122"/>
      <c r="Y29" s="122"/>
    </row>
    <row x14ac:dyDescent="0.25" r="30" customHeight="1" ht="18.75">
      <c r="A30" s="124" t="s">
        <v>1257</v>
      </c>
      <c r="B30" s="124" t="s">
        <v>1258</v>
      </c>
      <c r="C30" s="125" t="s">
        <v>1259</v>
      </c>
      <c r="D30" s="126">
        <v>45302</v>
      </c>
      <c r="E30" s="126">
        <v>45292</v>
      </c>
      <c r="F30" s="127">
        <v>103768.35</v>
      </c>
      <c r="G30" s="127">
        <v>20753.670000000002</v>
      </c>
      <c r="H30" s="127">
        <v>0</v>
      </c>
      <c r="I30" s="127">
        <v>0</v>
      </c>
      <c r="J30" s="127">
        <v>31133.88</v>
      </c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7">
        <f>SUM(J30:U30)</f>
      </c>
      <c r="W30" s="129" t="s">
        <v>1178</v>
      </c>
      <c r="X30" s="130"/>
      <c r="Y30" s="130"/>
    </row>
    <row x14ac:dyDescent="0.25" r="31" customHeight="1" ht="18.75">
      <c r="A31" s="124" t="s">
        <v>1260</v>
      </c>
      <c r="B31" s="124" t="s">
        <v>1261</v>
      </c>
      <c r="C31" s="125" t="s">
        <v>1262</v>
      </c>
      <c r="D31" s="126">
        <v>45391</v>
      </c>
      <c r="E31" s="126">
        <v>45383</v>
      </c>
      <c r="F31" s="127">
        <v>182034.62</v>
      </c>
      <c r="G31" s="127">
        <v>36406.92</v>
      </c>
      <c r="H31" s="127">
        <v>0</v>
      </c>
      <c r="I31" s="127">
        <v>0</v>
      </c>
      <c r="J31" s="128"/>
      <c r="K31" s="128"/>
      <c r="L31" s="128"/>
      <c r="M31" s="127">
        <v>74390.11</v>
      </c>
      <c r="N31" s="128"/>
      <c r="O31" s="128"/>
      <c r="P31" s="128"/>
      <c r="Q31" s="128"/>
      <c r="R31" s="128"/>
      <c r="S31" s="128"/>
      <c r="T31" s="128"/>
      <c r="U31" s="128"/>
      <c r="V31" s="127">
        <f>SUM(J31:U31)</f>
      </c>
      <c r="W31" s="129" t="s">
        <v>1178</v>
      </c>
      <c r="X31" s="130"/>
      <c r="Y31" s="130"/>
    </row>
    <row x14ac:dyDescent="0.25" r="32" customHeight="1" ht="18.75">
      <c r="A32" s="124" t="s">
        <v>1263</v>
      </c>
      <c r="B32" s="124" t="s">
        <v>1264</v>
      </c>
      <c r="C32" s="125" t="s">
        <v>1265</v>
      </c>
      <c r="D32" s="126">
        <v>45386</v>
      </c>
      <c r="E32" s="126">
        <v>45383</v>
      </c>
      <c r="F32" s="127">
        <v>70554.23</v>
      </c>
      <c r="G32" s="127">
        <v>8819.28</v>
      </c>
      <c r="H32" s="127">
        <v>0</v>
      </c>
      <c r="I32" s="127">
        <v>0</v>
      </c>
      <c r="J32" s="128"/>
      <c r="K32" s="128"/>
      <c r="L32" s="128"/>
      <c r="M32" s="127">
        <v>23570.75</v>
      </c>
      <c r="N32" s="128"/>
      <c r="O32" s="128"/>
      <c r="P32" s="128"/>
      <c r="Q32" s="128"/>
      <c r="R32" s="128"/>
      <c r="S32" s="128"/>
      <c r="T32" s="128"/>
      <c r="U32" s="128"/>
      <c r="V32" s="127">
        <f>SUM(J32:U32)</f>
      </c>
      <c r="W32" s="129" t="s">
        <v>1178</v>
      </c>
      <c r="X32" s="130"/>
      <c r="Y32" s="130"/>
    </row>
    <row x14ac:dyDescent="0.25" r="33" customHeight="1" ht="18.75">
      <c r="A33" s="114" t="s">
        <v>1266</v>
      </c>
      <c r="B33" s="115" t="s">
        <v>1267</v>
      </c>
      <c r="C33" s="116" t="s">
        <v>1268</v>
      </c>
      <c r="D33" s="117">
        <v>45510</v>
      </c>
      <c r="E33" s="117">
        <v>45510</v>
      </c>
      <c r="F33" s="118">
        <v>0</v>
      </c>
      <c r="G33" s="118">
        <v>0</v>
      </c>
      <c r="H33" s="118">
        <v>38698.770000000004</v>
      </c>
      <c r="I33" s="118">
        <v>0</v>
      </c>
      <c r="J33" s="119"/>
      <c r="K33" s="119"/>
      <c r="L33" s="119"/>
      <c r="M33" s="119"/>
      <c r="N33" s="119"/>
      <c r="O33" s="118">
        <v>30553.26</v>
      </c>
      <c r="P33" s="119"/>
      <c r="Q33" s="118"/>
      <c r="R33" s="119"/>
      <c r="S33" s="119"/>
      <c r="T33" s="119"/>
      <c r="U33" s="119"/>
      <c r="V33" s="118">
        <f>SUM(J33:U33)</f>
      </c>
      <c r="W33" s="121" t="s">
        <v>1178</v>
      </c>
      <c r="X33" s="122"/>
      <c r="Y33" s="122"/>
    </row>
    <row x14ac:dyDescent="0.25" r="34" customHeight="1" ht="18.75">
      <c r="A34" s="114" t="s">
        <v>1269</v>
      </c>
      <c r="B34" s="115" t="s">
        <v>1270</v>
      </c>
      <c r="C34" s="116" t="s">
        <v>1271</v>
      </c>
      <c r="D34" s="117">
        <v>45448</v>
      </c>
      <c r="E34" s="117">
        <v>45444</v>
      </c>
      <c r="F34" s="118">
        <v>8596.49</v>
      </c>
      <c r="G34" s="118">
        <v>1719.3</v>
      </c>
      <c r="H34" s="118">
        <v>0</v>
      </c>
      <c r="I34" s="118">
        <v>0</v>
      </c>
      <c r="J34" s="119"/>
      <c r="K34" s="119"/>
      <c r="L34" s="119"/>
      <c r="M34" s="119"/>
      <c r="N34" s="119"/>
      <c r="O34" s="118">
        <v>27843.07</v>
      </c>
      <c r="P34" s="119"/>
      <c r="Q34" s="119"/>
      <c r="R34" s="119"/>
      <c r="S34" s="119"/>
      <c r="T34" s="119"/>
      <c r="U34" s="119"/>
      <c r="V34" s="118">
        <f>SUM(J34:U34)</f>
      </c>
      <c r="W34" s="121" t="s">
        <v>1178</v>
      </c>
      <c r="X34" s="122"/>
      <c r="Y34" s="122"/>
    </row>
    <row x14ac:dyDescent="0.25" r="35" customHeight="1" ht="18.75">
      <c r="A35" s="114" t="s">
        <v>1272</v>
      </c>
      <c r="B35" s="115" t="s">
        <v>1273</v>
      </c>
      <c r="C35" s="116" t="s">
        <v>1274</v>
      </c>
      <c r="D35" s="117">
        <v>45523</v>
      </c>
      <c r="E35" s="117">
        <v>45505</v>
      </c>
      <c r="F35" s="118">
        <v>219298.25</v>
      </c>
      <c r="G35" s="118">
        <v>43859.65</v>
      </c>
      <c r="H35" s="118">
        <v>0</v>
      </c>
      <c r="I35" s="118">
        <v>0</v>
      </c>
      <c r="J35" s="119"/>
      <c r="K35" s="119"/>
      <c r="L35" s="119"/>
      <c r="M35" s="119"/>
      <c r="N35" s="119"/>
      <c r="O35" s="119"/>
      <c r="P35" s="119"/>
      <c r="Q35" s="118">
        <v>24877.28</v>
      </c>
      <c r="R35" s="119"/>
      <c r="S35" s="119"/>
      <c r="T35" s="119"/>
      <c r="U35" s="119"/>
      <c r="V35" s="118">
        <f>SUM(J35:U35)</f>
      </c>
      <c r="W35" s="121" t="s">
        <v>1178</v>
      </c>
      <c r="X35" s="122"/>
      <c r="Y35" s="122"/>
    </row>
    <row x14ac:dyDescent="0.25" r="36" customHeight="1" ht="18.75">
      <c r="A36" s="114" t="s">
        <v>1275</v>
      </c>
      <c r="B36" s="115" t="s">
        <v>1276</v>
      </c>
      <c r="C36" s="116" t="s">
        <v>1277</v>
      </c>
      <c r="D36" s="117">
        <v>45520</v>
      </c>
      <c r="E36" s="117">
        <v>45505</v>
      </c>
      <c r="F36" s="118">
        <v>645124.71</v>
      </c>
      <c r="G36" s="118">
        <v>129024.94</v>
      </c>
      <c r="H36" s="118">
        <v>0</v>
      </c>
      <c r="I36" s="118">
        <v>0</v>
      </c>
      <c r="J36" s="119"/>
      <c r="K36" s="119"/>
      <c r="L36" s="119"/>
      <c r="M36" s="119"/>
      <c r="N36" s="119"/>
      <c r="O36" s="119"/>
      <c r="P36" s="119"/>
      <c r="Q36" s="118">
        <v>164416.25</v>
      </c>
      <c r="R36" s="119"/>
      <c r="S36" s="119"/>
      <c r="T36" s="119"/>
      <c r="U36" s="119"/>
      <c r="V36" s="118">
        <f>SUM(J36:U36)</f>
      </c>
      <c r="W36" s="121" t="s">
        <v>1178</v>
      </c>
      <c r="X36" s="122"/>
      <c r="Y36" s="122"/>
    </row>
    <row x14ac:dyDescent="0.25" r="37" customHeight="1" ht="18.75">
      <c r="A37" s="114" t="s">
        <v>1278</v>
      </c>
      <c r="B37" s="115" t="s">
        <v>1276</v>
      </c>
      <c r="C37" s="116" t="s">
        <v>1279</v>
      </c>
      <c r="D37" s="117">
        <v>45520</v>
      </c>
      <c r="E37" s="117">
        <v>45505</v>
      </c>
      <c r="F37" s="118">
        <v>383887.51</v>
      </c>
      <c r="G37" s="118">
        <v>76777.5</v>
      </c>
      <c r="H37" s="118">
        <v>0</v>
      </c>
      <c r="I37" s="118">
        <v>0</v>
      </c>
      <c r="J37" s="119"/>
      <c r="K37" s="119"/>
      <c r="L37" s="119"/>
      <c r="M37" s="119"/>
      <c r="N37" s="119"/>
      <c r="O37" s="119"/>
      <c r="P37" s="119"/>
      <c r="Q37" s="118">
        <v>86052.64</v>
      </c>
      <c r="R37" s="119"/>
      <c r="S37" s="119"/>
      <c r="T37" s="119"/>
      <c r="U37" s="119"/>
      <c r="V37" s="118">
        <f>SUM(J37:U37)</f>
      </c>
      <c r="W37" s="121" t="s">
        <v>1178</v>
      </c>
      <c r="X37" s="122"/>
      <c r="Y37" s="122"/>
    </row>
    <row x14ac:dyDescent="0.25" r="38" customHeight="1" ht="18.75">
      <c r="A38" s="114" t="s">
        <v>1280</v>
      </c>
      <c r="B38" s="115" t="s">
        <v>1276</v>
      </c>
      <c r="C38" s="116" t="s">
        <v>1281</v>
      </c>
      <c r="D38" s="117">
        <v>45520</v>
      </c>
      <c r="E38" s="117">
        <v>45505</v>
      </c>
      <c r="F38" s="118">
        <v>1153945.66</v>
      </c>
      <c r="G38" s="118">
        <v>230789.13</v>
      </c>
      <c r="H38" s="118">
        <v>0</v>
      </c>
      <c r="I38" s="118">
        <v>0</v>
      </c>
      <c r="J38" s="119"/>
      <c r="K38" s="119"/>
      <c r="L38" s="119"/>
      <c r="M38" s="119"/>
      <c r="N38" s="119"/>
      <c r="O38" s="119"/>
      <c r="P38" s="119"/>
      <c r="Q38" s="118">
        <v>267951.66</v>
      </c>
      <c r="R38" s="119"/>
      <c r="S38" s="119"/>
      <c r="T38" s="119"/>
      <c r="U38" s="119"/>
      <c r="V38" s="118">
        <f>SUM(J38:U38)</f>
      </c>
      <c r="W38" s="121" t="s">
        <v>1178</v>
      </c>
      <c r="X38" s="122"/>
      <c r="Y38" s="122"/>
    </row>
    <row x14ac:dyDescent="0.25" r="39" customHeight="1" ht="18.75">
      <c r="A39" s="114" t="s">
        <v>1282</v>
      </c>
      <c r="B39" s="115" t="s">
        <v>1276</v>
      </c>
      <c r="C39" s="116" t="s">
        <v>1283</v>
      </c>
      <c r="D39" s="117">
        <v>45520</v>
      </c>
      <c r="E39" s="117">
        <v>45505</v>
      </c>
      <c r="F39" s="118">
        <v>197575.66</v>
      </c>
      <c r="G39" s="118">
        <v>39515.13</v>
      </c>
      <c r="H39" s="118">
        <v>0</v>
      </c>
      <c r="I39" s="118">
        <v>0</v>
      </c>
      <c r="J39" s="119"/>
      <c r="K39" s="119"/>
      <c r="L39" s="119"/>
      <c r="M39" s="119"/>
      <c r="N39" s="119"/>
      <c r="O39" s="119"/>
      <c r="P39" s="119"/>
      <c r="Q39" s="118">
        <v>39515.13</v>
      </c>
      <c r="R39" s="119"/>
      <c r="S39" s="119"/>
      <c r="T39" s="119"/>
      <c r="U39" s="119"/>
      <c r="V39" s="118">
        <f>SUM(J39:U39)</f>
      </c>
      <c r="W39" s="121" t="s">
        <v>1178</v>
      </c>
      <c r="X39" s="122"/>
      <c r="Y39" s="122"/>
    </row>
    <row x14ac:dyDescent="0.25" r="40" customHeight="1" ht="18.75">
      <c r="A40" s="114" t="s">
        <v>1284</v>
      </c>
      <c r="B40" s="115" t="s">
        <v>1276</v>
      </c>
      <c r="C40" s="116" t="s">
        <v>1285</v>
      </c>
      <c r="D40" s="117">
        <v>45520</v>
      </c>
      <c r="E40" s="117">
        <v>45505</v>
      </c>
      <c r="F40" s="118">
        <v>204812.58</v>
      </c>
      <c r="G40" s="118">
        <v>40962.520000000004</v>
      </c>
      <c r="H40" s="118">
        <v>0</v>
      </c>
      <c r="I40" s="118">
        <v>0</v>
      </c>
      <c r="J40" s="119"/>
      <c r="K40" s="119"/>
      <c r="L40" s="119"/>
      <c r="M40" s="119"/>
      <c r="N40" s="119"/>
      <c r="O40" s="119"/>
      <c r="P40" s="119"/>
      <c r="Q40" s="118">
        <v>45129.68</v>
      </c>
      <c r="R40" s="119"/>
      <c r="S40" s="119"/>
      <c r="T40" s="119"/>
      <c r="U40" s="119"/>
      <c r="V40" s="118">
        <f>SUM(J40:U40)</f>
      </c>
      <c r="W40" s="121" t="s">
        <v>1178</v>
      </c>
      <c r="X40" s="122"/>
      <c r="Y40" s="122"/>
    </row>
    <row x14ac:dyDescent="0.25" r="41" customHeight="1" ht="18.75">
      <c r="A41" s="114" t="s">
        <v>1286</v>
      </c>
      <c r="B41" s="115" t="s">
        <v>1276</v>
      </c>
      <c r="C41" s="116" t="s">
        <v>1287</v>
      </c>
      <c r="D41" s="117">
        <v>45520</v>
      </c>
      <c r="E41" s="117">
        <v>45505</v>
      </c>
      <c r="F41" s="118">
        <v>180049.38</v>
      </c>
      <c r="G41" s="118">
        <v>36009.88</v>
      </c>
      <c r="H41" s="118">
        <v>0</v>
      </c>
      <c r="I41" s="118">
        <v>0</v>
      </c>
      <c r="J41" s="119"/>
      <c r="K41" s="119"/>
      <c r="L41" s="119"/>
      <c r="M41" s="119"/>
      <c r="N41" s="119"/>
      <c r="O41" s="119"/>
      <c r="P41" s="119"/>
      <c r="Q41" s="118">
        <v>37796.25</v>
      </c>
      <c r="R41" s="119"/>
      <c r="S41" s="119"/>
      <c r="T41" s="119"/>
      <c r="U41" s="119"/>
      <c r="V41" s="118">
        <f>SUM(J41:U41)</f>
      </c>
      <c r="W41" s="121" t="s">
        <v>1178</v>
      </c>
      <c r="X41" s="122"/>
      <c r="Y41" s="122"/>
    </row>
    <row x14ac:dyDescent="0.25" r="42" customHeight="1" ht="18.75">
      <c r="A42" s="114" t="s">
        <v>1288</v>
      </c>
      <c r="B42" s="115" t="s">
        <v>1276</v>
      </c>
      <c r="C42" s="116" t="s">
        <v>1289</v>
      </c>
      <c r="D42" s="117">
        <v>45520</v>
      </c>
      <c r="E42" s="117">
        <v>45505</v>
      </c>
      <c r="F42" s="118">
        <v>136259.65</v>
      </c>
      <c r="G42" s="118">
        <v>27251.93</v>
      </c>
      <c r="H42" s="118">
        <v>0</v>
      </c>
      <c r="I42" s="118">
        <v>0</v>
      </c>
      <c r="J42" s="119"/>
      <c r="K42" s="119"/>
      <c r="L42" s="119"/>
      <c r="M42" s="119"/>
      <c r="N42" s="119"/>
      <c r="O42" s="119"/>
      <c r="P42" s="119"/>
      <c r="Q42" s="118">
        <v>34033.38</v>
      </c>
      <c r="R42" s="119"/>
      <c r="S42" s="119"/>
      <c r="T42" s="119"/>
      <c r="U42" s="119"/>
      <c r="V42" s="118">
        <f>SUM(J42:U42)</f>
      </c>
      <c r="W42" s="121" t="s">
        <v>1178</v>
      </c>
      <c r="X42" s="122"/>
      <c r="Y42" s="122"/>
    </row>
    <row x14ac:dyDescent="0.25" r="43" customHeight="1" ht="18.75">
      <c r="A43" s="114" t="s">
        <v>1290</v>
      </c>
      <c r="B43" s="115" t="s">
        <v>1276</v>
      </c>
      <c r="C43" s="116" t="s">
        <v>1291</v>
      </c>
      <c r="D43" s="117">
        <v>45520</v>
      </c>
      <c r="E43" s="117">
        <v>45505</v>
      </c>
      <c r="F43" s="118">
        <v>166605.04</v>
      </c>
      <c r="G43" s="118">
        <v>33321.01</v>
      </c>
      <c r="H43" s="118">
        <v>0</v>
      </c>
      <c r="I43" s="118">
        <v>0</v>
      </c>
      <c r="J43" s="119"/>
      <c r="K43" s="119"/>
      <c r="L43" s="119"/>
      <c r="M43" s="119"/>
      <c r="N43" s="119"/>
      <c r="O43" s="119"/>
      <c r="P43" s="119"/>
      <c r="Q43" s="118">
        <v>53278.64</v>
      </c>
      <c r="R43" s="119"/>
      <c r="S43" s="119"/>
      <c r="T43" s="119"/>
      <c r="U43" s="119"/>
      <c r="V43" s="118">
        <f>SUM(J43:U43)</f>
      </c>
      <c r="W43" s="121" t="s">
        <v>1178</v>
      </c>
      <c r="X43" s="122"/>
      <c r="Y43" s="122"/>
    </row>
    <row x14ac:dyDescent="0.25" r="44" customHeight="1" ht="18.75">
      <c r="A44" s="114" t="s">
        <v>1292</v>
      </c>
      <c r="B44" s="115" t="s">
        <v>1293</v>
      </c>
      <c r="C44" s="116" t="s">
        <v>1294</v>
      </c>
      <c r="D44" s="117">
        <v>45520</v>
      </c>
      <c r="E44" s="117">
        <v>45505</v>
      </c>
      <c r="F44" s="118">
        <v>5191929.79</v>
      </c>
      <c r="G44" s="118">
        <v>1038385.96</v>
      </c>
      <c r="H44" s="118">
        <v>0</v>
      </c>
      <c r="I44" s="118">
        <v>0</v>
      </c>
      <c r="J44" s="119"/>
      <c r="K44" s="119"/>
      <c r="L44" s="119"/>
      <c r="M44" s="119"/>
      <c r="N44" s="119"/>
      <c r="O44" s="119"/>
      <c r="P44" s="119"/>
      <c r="Q44" s="118">
        <v>1527684.95</v>
      </c>
      <c r="R44" s="119"/>
      <c r="S44" s="119"/>
      <c r="T44" s="119"/>
      <c r="U44" s="119"/>
      <c r="V44" s="118">
        <f>SUM(J44:U44)</f>
      </c>
      <c r="W44" s="121" t="s">
        <v>1178</v>
      </c>
      <c r="X44" s="122"/>
      <c r="Y44" s="122"/>
    </row>
    <row x14ac:dyDescent="0.25" r="45" customHeight="1" ht="18.75">
      <c r="A45" s="114" t="s">
        <v>1295</v>
      </c>
      <c r="B45" s="115" t="s">
        <v>1296</v>
      </c>
      <c r="C45" s="116" t="s">
        <v>1297</v>
      </c>
      <c r="D45" s="117">
        <v>45476</v>
      </c>
      <c r="E45" s="117">
        <v>45474</v>
      </c>
      <c r="F45" s="118">
        <v>64049.01</v>
      </c>
      <c r="G45" s="118">
        <v>12809.8</v>
      </c>
      <c r="H45" s="118">
        <v>0</v>
      </c>
      <c r="I45" s="118">
        <v>0</v>
      </c>
      <c r="J45" s="119"/>
      <c r="K45" s="119"/>
      <c r="L45" s="119"/>
      <c r="M45" s="119"/>
      <c r="N45" s="119"/>
      <c r="O45" s="119"/>
      <c r="P45" s="118">
        <v>91556.49</v>
      </c>
      <c r="Q45" s="119"/>
      <c r="R45" s="119"/>
      <c r="S45" s="119"/>
      <c r="T45" s="119"/>
      <c r="U45" s="119"/>
      <c r="V45" s="118">
        <f>SUM(J45:U45)</f>
      </c>
      <c r="W45" s="121" t="s">
        <v>1178</v>
      </c>
      <c r="X45" s="122"/>
      <c r="Y45" s="122"/>
    </row>
    <row x14ac:dyDescent="0.25" r="46" customHeight="1" ht="18.75">
      <c r="A46" s="114" t="s">
        <v>1298</v>
      </c>
      <c r="B46" s="115" t="s">
        <v>1299</v>
      </c>
      <c r="C46" s="116" t="s">
        <v>1300</v>
      </c>
      <c r="D46" s="117">
        <v>45533</v>
      </c>
      <c r="E46" s="117">
        <v>45505</v>
      </c>
      <c r="F46" s="118">
        <v>160866.46</v>
      </c>
      <c r="G46" s="118">
        <v>20108.31</v>
      </c>
      <c r="H46" s="118">
        <v>0</v>
      </c>
      <c r="I46" s="118">
        <v>0</v>
      </c>
      <c r="J46" s="119"/>
      <c r="K46" s="119"/>
      <c r="L46" s="119"/>
      <c r="M46" s="119"/>
      <c r="N46" s="119"/>
      <c r="O46" s="119"/>
      <c r="P46" s="119"/>
      <c r="Q46" s="118">
        <v>70637.94</v>
      </c>
      <c r="R46" s="119"/>
      <c r="S46" s="119"/>
      <c r="T46" s="119"/>
      <c r="U46" s="119"/>
      <c r="V46" s="118">
        <f>SUM(J46:U46)</f>
      </c>
      <c r="W46" s="121" t="s">
        <v>1178</v>
      </c>
      <c r="X46" s="122"/>
      <c r="Y46" s="122"/>
    </row>
    <row x14ac:dyDescent="0.25" r="47" customHeight="1" ht="18.75">
      <c r="A47" s="114" t="s">
        <v>1301</v>
      </c>
      <c r="B47" s="115" t="s">
        <v>1302</v>
      </c>
      <c r="C47" s="116" t="s">
        <v>1303</v>
      </c>
      <c r="D47" s="117">
        <v>45525</v>
      </c>
      <c r="E47" s="117">
        <v>45527</v>
      </c>
      <c r="F47" s="118">
        <v>247024.13</v>
      </c>
      <c r="G47" s="118">
        <v>49404.83</v>
      </c>
      <c r="H47" s="118">
        <v>0</v>
      </c>
      <c r="I47" s="118">
        <v>0</v>
      </c>
      <c r="J47" s="119"/>
      <c r="K47" s="119"/>
      <c r="L47" s="119"/>
      <c r="M47" s="119"/>
      <c r="N47" s="119"/>
      <c r="O47" s="119"/>
      <c r="P47" s="119"/>
      <c r="Q47" s="118">
        <v>49404.83</v>
      </c>
      <c r="R47" s="119"/>
      <c r="S47" s="119"/>
      <c r="T47" s="119"/>
      <c r="U47" s="119"/>
      <c r="V47" s="118">
        <f>SUM(J47:U47)</f>
      </c>
      <c r="W47" s="121" t="s">
        <v>1178</v>
      </c>
      <c r="X47" s="122"/>
      <c r="Y47" s="122"/>
    </row>
    <row x14ac:dyDescent="0.25" r="48" customHeight="1" ht="18.75">
      <c r="A48" s="124" t="s">
        <v>1304</v>
      </c>
      <c r="B48" s="124" t="s">
        <v>1305</v>
      </c>
      <c r="C48" s="125" t="s">
        <v>1306</v>
      </c>
      <c r="D48" s="126">
        <v>45313</v>
      </c>
      <c r="E48" s="126">
        <v>45292</v>
      </c>
      <c r="F48" s="127">
        <v>65855.26</v>
      </c>
      <c r="G48" s="127">
        <v>13171.05</v>
      </c>
      <c r="H48" s="127">
        <v>0</v>
      </c>
      <c r="I48" s="127">
        <v>0</v>
      </c>
      <c r="J48" s="127">
        <v>18345.9</v>
      </c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7">
        <f>SUM(J48:U48)</f>
      </c>
      <c r="W48" s="129" t="s">
        <v>1178</v>
      </c>
      <c r="X48" s="130"/>
      <c r="Y48" s="130"/>
    </row>
    <row x14ac:dyDescent="0.25" r="49" customHeight="1" ht="18.75">
      <c r="A49" s="114" t="s">
        <v>1307</v>
      </c>
      <c r="B49" s="131" t="s">
        <v>1308</v>
      </c>
      <c r="C49" s="115"/>
      <c r="D49" s="117"/>
      <c r="E49" s="132"/>
      <c r="F49" s="133"/>
      <c r="G49" s="133"/>
      <c r="H49" s="119"/>
      <c r="I49" s="134"/>
      <c r="J49" s="133"/>
      <c r="K49" s="119"/>
      <c r="L49" s="119"/>
      <c r="M49" s="119"/>
      <c r="N49" s="119"/>
      <c r="O49" s="119"/>
      <c r="P49" s="119"/>
      <c r="Q49" s="119"/>
      <c r="R49" s="119"/>
      <c r="S49" s="118"/>
      <c r="T49" s="118"/>
      <c r="U49" s="118">
        <v>6003</v>
      </c>
      <c r="V49" s="118">
        <f>SUM(J49:U49)</f>
      </c>
      <c r="W49" s="121" t="s">
        <v>1178</v>
      </c>
      <c r="X49" s="122"/>
      <c r="Y49" s="122"/>
    </row>
    <row x14ac:dyDescent="0.25" r="50" customHeight="1" ht="18.75">
      <c r="A50" s="114" t="s">
        <v>1309</v>
      </c>
      <c r="B50" s="115" t="s">
        <v>1310</v>
      </c>
      <c r="C50" s="116" t="s">
        <v>1311</v>
      </c>
      <c r="D50" s="117">
        <v>45505</v>
      </c>
      <c r="E50" s="117">
        <v>45474</v>
      </c>
      <c r="F50" s="118">
        <v>39719.99</v>
      </c>
      <c r="G50" s="118">
        <v>7944</v>
      </c>
      <c r="H50" s="118">
        <v>0</v>
      </c>
      <c r="I50" s="118">
        <v>0</v>
      </c>
      <c r="J50" s="118">
        <v>29706</v>
      </c>
      <c r="K50" s="118">
        <v>0</v>
      </c>
      <c r="L50" s="118"/>
      <c r="M50" s="118">
        <v>0</v>
      </c>
      <c r="N50" s="118"/>
      <c r="O50" s="118"/>
      <c r="P50" s="118">
        <v>29706</v>
      </c>
      <c r="Q50" s="119"/>
      <c r="R50" s="119"/>
      <c r="S50" s="118">
        <v>0</v>
      </c>
      <c r="T50" s="119"/>
      <c r="U50" s="119"/>
      <c r="V50" s="118">
        <f>SUM(J50:U50)</f>
      </c>
      <c r="W50" s="121" t="s">
        <v>1178</v>
      </c>
      <c r="X50" s="122"/>
      <c r="Y50" s="122"/>
    </row>
    <row x14ac:dyDescent="0.25" r="51" customHeight="1" ht="18.75">
      <c r="A51" s="114" t="s">
        <v>1312</v>
      </c>
      <c r="B51" s="115" t="s">
        <v>1313</v>
      </c>
      <c r="C51" s="116" t="s">
        <v>1314</v>
      </c>
      <c r="D51" s="117">
        <v>45303</v>
      </c>
      <c r="E51" s="117">
        <v>45287</v>
      </c>
      <c r="F51" s="118">
        <v>22.53</v>
      </c>
      <c r="G51" s="118">
        <v>4.51</v>
      </c>
      <c r="H51" s="118">
        <v>0</v>
      </c>
      <c r="I51" s="118">
        <v>0</v>
      </c>
      <c r="J51" s="118">
        <v>307772.26</v>
      </c>
      <c r="K51" s="119"/>
      <c r="L51" s="119"/>
      <c r="M51" s="118">
        <v>307772.26</v>
      </c>
      <c r="N51" s="119"/>
      <c r="O51" s="119"/>
      <c r="P51" s="118">
        <v>307772.26</v>
      </c>
      <c r="Q51" s="118"/>
      <c r="R51" s="118"/>
      <c r="S51" s="118">
        <v>307772.26</v>
      </c>
      <c r="T51" s="118"/>
      <c r="U51" s="118"/>
      <c r="V51" s="118">
        <f>SUM(J51:U51)</f>
      </c>
      <c r="W51" s="121" t="s">
        <v>1178</v>
      </c>
      <c r="X51" s="122"/>
      <c r="Y51" s="122"/>
    </row>
    <row x14ac:dyDescent="0.25" r="52" customHeight="1" ht="18.75">
      <c r="A52" s="114" t="s">
        <v>1315</v>
      </c>
      <c r="B52" s="115" t="s">
        <v>1316</v>
      </c>
      <c r="C52" s="116" t="s">
        <v>1317</v>
      </c>
      <c r="D52" s="117">
        <v>45502</v>
      </c>
      <c r="E52" s="117">
        <v>45498</v>
      </c>
      <c r="F52" s="118">
        <v>123421.05</v>
      </c>
      <c r="G52" s="118">
        <v>15427.63</v>
      </c>
      <c r="H52" s="118">
        <v>0</v>
      </c>
      <c r="I52" s="118">
        <v>0</v>
      </c>
      <c r="J52" s="119"/>
      <c r="K52" s="119"/>
      <c r="L52" s="119"/>
      <c r="M52" s="119"/>
      <c r="N52" s="119"/>
      <c r="O52" s="119"/>
      <c r="P52" s="118">
        <v>24286.84</v>
      </c>
      <c r="Q52" s="119"/>
      <c r="R52" s="119"/>
      <c r="S52" s="119"/>
      <c r="T52" s="119"/>
      <c r="U52" s="119"/>
      <c r="V52" s="118">
        <f>SUM(J52:U52)</f>
      </c>
      <c r="W52" s="121" t="s">
        <v>1178</v>
      </c>
      <c r="X52" s="122"/>
      <c r="Y52" s="122"/>
    </row>
    <row x14ac:dyDescent="0.25" r="53" customHeight="1" ht="18.75">
      <c r="A53" s="124" t="s">
        <v>1318</v>
      </c>
      <c r="B53" s="124" t="s">
        <v>1319</v>
      </c>
      <c r="C53" s="125" t="s">
        <v>1320</v>
      </c>
      <c r="D53" s="126">
        <v>45350</v>
      </c>
      <c r="E53" s="126">
        <v>45281</v>
      </c>
      <c r="F53" s="127">
        <v>1398.98</v>
      </c>
      <c r="G53" s="127">
        <v>174.87</v>
      </c>
      <c r="H53" s="127">
        <v>0</v>
      </c>
      <c r="I53" s="127">
        <v>0</v>
      </c>
      <c r="J53" s="135">
        <v>553818.03</v>
      </c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7">
        <f>SUM(J53:U53)</f>
      </c>
      <c r="W53" s="129" t="s">
        <v>1178</v>
      </c>
      <c r="X53" s="130"/>
      <c r="Y53" s="130"/>
    </row>
    <row x14ac:dyDescent="0.25" r="54" customHeight="1" ht="18.75">
      <c r="A54" s="114" t="s">
        <v>1321</v>
      </c>
      <c r="B54" s="115" t="s">
        <v>1322</v>
      </c>
      <c r="C54" s="116" t="s">
        <v>1323</v>
      </c>
      <c r="D54" s="117">
        <v>45314</v>
      </c>
      <c r="E54" s="117">
        <v>45314</v>
      </c>
      <c r="F54" s="118">
        <v>5701.75</v>
      </c>
      <c r="G54" s="118">
        <v>570.1800000000001</v>
      </c>
      <c r="H54" s="118">
        <v>0</v>
      </c>
      <c r="I54" s="118">
        <v>0</v>
      </c>
      <c r="J54" s="118">
        <v>587.72</v>
      </c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8">
        <f>SUM(J54:U54)</f>
      </c>
      <c r="W54" s="121" t="s">
        <v>1178</v>
      </c>
      <c r="X54" s="122"/>
      <c r="Y54" s="122"/>
    </row>
    <row x14ac:dyDescent="0.25" r="55" customHeight="1" ht="18.75">
      <c r="A55" s="114" t="s">
        <v>1324</v>
      </c>
      <c r="B55" s="115" t="s">
        <v>1325</v>
      </c>
      <c r="C55" s="116" t="s">
        <v>1326</v>
      </c>
      <c r="D55" s="117">
        <v>45323</v>
      </c>
      <c r="E55" s="117">
        <v>45261</v>
      </c>
      <c r="F55" s="118">
        <v>90427.13</v>
      </c>
      <c r="G55" s="118">
        <v>18085.43</v>
      </c>
      <c r="H55" s="118">
        <v>0</v>
      </c>
      <c r="I55" s="118">
        <v>0</v>
      </c>
      <c r="J55" s="118">
        <v>0</v>
      </c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8">
        <v>18085.43</v>
      </c>
      <c r="V55" s="118">
        <f>SUM(J55:U55)</f>
      </c>
      <c r="W55" s="121" t="s">
        <v>1178</v>
      </c>
      <c r="X55" s="122"/>
      <c r="Y55" s="122"/>
    </row>
    <row x14ac:dyDescent="0.25" r="56" customHeight="1" ht="18.75">
      <c r="A56" s="114" t="s">
        <v>1327</v>
      </c>
      <c r="B56" s="115" t="s">
        <v>1328</v>
      </c>
      <c r="C56" s="116" t="s">
        <v>1329</v>
      </c>
      <c r="D56" s="117">
        <v>45320</v>
      </c>
      <c r="E56" s="117">
        <v>45292</v>
      </c>
      <c r="F56" s="118">
        <v>3083879.31</v>
      </c>
      <c r="G56" s="118">
        <v>616775.86</v>
      </c>
      <c r="H56" s="118">
        <v>0</v>
      </c>
      <c r="I56" s="118">
        <v>0</v>
      </c>
      <c r="J56" s="118">
        <v>174536.91</v>
      </c>
      <c r="K56" s="119"/>
      <c r="L56" s="119"/>
      <c r="M56" s="118">
        <v>174536.91</v>
      </c>
      <c r="N56" s="119"/>
      <c r="O56" s="119"/>
      <c r="P56" s="118">
        <v>174536.91</v>
      </c>
      <c r="Q56" s="119"/>
      <c r="R56" s="119"/>
      <c r="S56" s="118">
        <v>174536.91</v>
      </c>
      <c r="T56" s="119"/>
      <c r="U56" s="119"/>
      <c r="V56" s="118">
        <f>SUM(J56:U56)</f>
      </c>
      <c r="W56" s="121" t="s">
        <v>1178</v>
      </c>
      <c r="X56" s="122"/>
      <c r="Y56" s="122"/>
    </row>
    <row x14ac:dyDescent="0.25" r="57" customHeight="1" ht="18.75">
      <c r="A57" s="114" t="s">
        <v>1330</v>
      </c>
      <c r="B57" s="115" t="s">
        <v>1331</v>
      </c>
      <c r="C57" s="116" t="s">
        <v>1332</v>
      </c>
      <c r="D57" s="117">
        <v>45365</v>
      </c>
      <c r="E57" s="117">
        <v>45352</v>
      </c>
      <c r="F57" s="118">
        <v>9802.630000000001</v>
      </c>
      <c r="G57" s="118">
        <v>1225.33</v>
      </c>
      <c r="H57" s="118">
        <v>0</v>
      </c>
      <c r="I57" s="118">
        <v>0</v>
      </c>
      <c r="J57" s="119"/>
      <c r="K57" s="119"/>
      <c r="L57" s="118">
        <v>5276.32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8">
        <f>SUM(J57:U57)</f>
      </c>
      <c r="W57" s="121" t="s">
        <v>1178</v>
      </c>
      <c r="X57" s="122"/>
      <c r="Y57" s="122"/>
    </row>
    <row x14ac:dyDescent="0.25" r="58" customHeight="1" ht="18.75">
      <c r="A58" s="114" t="s">
        <v>1333</v>
      </c>
      <c r="B58" s="115" t="s">
        <v>1334</v>
      </c>
      <c r="C58" s="116" t="s">
        <v>1335</v>
      </c>
      <c r="D58" s="117">
        <v>45505</v>
      </c>
      <c r="E58" s="117">
        <v>45505</v>
      </c>
      <c r="F58" s="118">
        <v>156257.29</v>
      </c>
      <c r="G58" s="118">
        <v>19532.16</v>
      </c>
      <c r="H58" s="118">
        <v>0</v>
      </c>
      <c r="I58" s="118">
        <v>0</v>
      </c>
      <c r="J58" s="119"/>
      <c r="K58" s="119"/>
      <c r="L58" s="119"/>
      <c r="M58" s="119"/>
      <c r="N58" s="119"/>
      <c r="O58" s="119"/>
      <c r="P58" s="119"/>
      <c r="Q58" s="118">
        <v>35354.91</v>
      </c>
      <c r="R58" s="119"/>
      <c r="S58" s="119"/>
      <c r="T58" s="119"/>
      <c r="U58" s="119"/>
      <c r="V58" s="118">
        <f>SUM(J58:U58)</f>
      </c>
      <c r="W58" s="121" t="s">
        <v>1178</v>
      </c>
      <c r="X58" s="122"/>
      <c r="Y58" s="122"/>
    </row>
    <row x14ac:dyDescent="0.25" r="59" customHeight="1" ht="18.75">
      <c r="A59" s="114" t="s">
        <v>1336</v>
      </c>
      <c r="B59" s="115" t="s">
        <v>1337</v>
      </c>
      <c r="C59" s="116" t="s">
        <v>1338</v>
      </c>
      <c r="D59" s="117">
        <v>45385</v>
      </c>
      <c r="E59" s="117">
        <v>45383</v>
      </c>
      <c r="F59" s="118">
        <v>9210.53</v>
      </c>
      <c r="G59" s="118">
        <v>1842.11</v>
      </c>
      <c r="H59" s="118">
        <v>0</v>
      </c>
      <c r="I59" s="118">
        <v>0</v>
      </c>
      <c r="J59" s="119"/>
      <c r="K59" s="119"/>
      <c r="L59" s="119"/>
      <c r="M59" s="118">
        <v>1842.11</v>
      </c>
      <c r="N59" s="119"/>
      <c r="O59" s="119"/>
      <c r="P59" s="119"/>
      <c r="Q59" s="119"/>
      <c r="R59" s="119"/>
      <c r="S59" s="119"/>
      <c r="T59" s="119"/>
      <c r="U59" s="119"/>
      <c r="V59" s="118">
        <f>SUM(J59:U59)</f>
      </c>
      <c r="W59" s="121" t="s">
        <v>1178</v>
      </c>
      <c r="X59" s="122"/>
      <c r="Y59" s="122"/>
    </row>
    <row x14ac:dyDescent="0.25" r="60" customHeight="1" ht="18.75">
      <c r="A60" s="114" t="s">
        <v>1339</v>
      </c>
      <c r="B60" s="115" t="s">
        <v>1340</v>
      </c>
      <c r="C60" s="116" t="s">
        <v>1341</v>
      </c>
      <c r="D60" s="117">
        <v>45453</v>
      </c>
      <c r="E60" s="117">
        <v>45444</v>
      </c>
      <c r="F60" s="118">
        <v>239982.46</v>
      </c>
      <c r="G60" s="118">
        <v>47996.49</v>
      </c>
      <c r="H60" s="118">
        <v>0</v>
      </c>
      <c r="I60" s="118">
        <v>0</v>
      </c>
      <c r="J60" s="119"/>
      <c r="K60" s="119"/>
      <c r="L60" s="119"/>
      <c r="M60" s="119"/>
      <c r="N60" s="119"/>
      <c r="O60" s="118">
        <v>41459.08</v>
      </c>
      <c r="P60" s="119"/>
      <c r="Q60" s="119"/>
      <c r="R60" s="119"/>
      <c r="S60" s="119"/>
      <c r="T60" s="119"/>
      <c r="U60" s="119"/>
      <c r="V60" s="118">
        <f>SUM(J60:U60)</f>
      </c>
      <c r="W60" s="121" t="s">
        <v>1178</v>
      </c>
      <c r="X60" s="122"/>
      <c r="Y60" s="122"/>
    </row>
    <row x14ac:dyDescent="0.25" r="61" customHeight="1" ht="18.75">
      <c r="A61" s="131" t="s">
        <v>1342</v>
      </c>
      <c r="B61" s="131" t="s">
        <v>1343</v>
      </c>
      <c r="C61" s="136" t="s">
        <v>1344</v>
      </c>
      <c r="D61" s="137">
        <v>45303</v>
      </c>
      <c r="E61" s="137">
        <v>45292</v>
      </c>
      <c r="F61" s="138">
        <v>48801.45</v>
      </c>
      <c r="G61" s="138">
        <v>9760.29</v>
      </c>
      <c r="H61" s="138">
        <v>0</v>
      </c>
      <c r="I61" s="138">
        <v>0</v>
      </c>
      <c r="J61" s="138">
        <v>19807.09</v>
      </c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8">
        <f>SUM(J61:U61)</f>
      </c>
      <c r="W61" s="121" t="s">
        <v>1178</v>
      </c>
      <c r="X61" s="140"/>
      <c r="Y61" s="140"/>
    </row>
    <row x14ac:dyDescent="0.25" r="62" customHeight="1" ht="18.75">
      <c r="A62" s="114" t="s">
        <v>1345</v>
      </c>
      <c r="B62" s="115" t="s">
        <v>1346</v>
      </c>
      <c r="C62" s="116" t="s">
        <v>1347</v>
      </c>
      <c r="D62" s="117">
        <v>45406</v>
      </c>
      <c r="E62" s="117">
        <v>45383</v>
      </c>
      <c r="F62" s="118">
        <v>24951.53</v>
      </c>
      <c r="G62" s="118">
        <v>0</v>
      </c>
      <c r="H62" s="118">
        <v>0</v>
      </c>
      <c r="I62" s="118">
        <v>0</v>
      </c>
      <c r="J62" s="119"/>
      <c r="K62" s="119"/>
      <c r="L62" s="119"/>
      <c r="M62" s="123">
        <v>91255.91</v>
      </c>
      <c r="N62" s="119"/>
      <c r="O62" s="119"/>
      <c r="P62" s="119"/>
      <c r="Q62" s="119"/>
      <c r="R62" s="119"/>
      <c r="S62" s="119"/>
      <c r="T62" s="119"/>
      <c r="U62" s="119"/>
      <c r="V62" s="118">
        <f>SUM(J62:U62)</f>
      </c>
      <c r="W62" s="121" t="s">
        <v>1178</v>
      </c>
      <c r="X62" s="122"/>
      <c r="Y62" s="122"/>
    </row>
    <row x14ac:dyDescent="0.25" r="63" customHeight="1" ht="18.75">
      <c r="A63" s="114" t="s">
        <v>1348</v>
      </c>
      <c r="B63" s="115" t="s">
        <v>1349</v>
      </c>
      <c r="C63" s="116" t="s">
        <v>1350</v>
      </c>
      <c r="D63" s="117">
        <v>45496</v>
      </c>
      <c r="E63" s="117">
        <v>45474</v>
      </c>
      <c r="F63" s="118">
        <v>446.27</v>
      </c>
      <c r="G63" s="118">
        <v>89.25</v>
      </c>
      <c r="H63" s="118">
        <v>0</v>
      </c>
      <c r="I63" s="118">
        <v>0</v>
      </c>
      <c r="J63" s="119"/>
      <c r="K63" s="119"/>
      <c r="L63" s="119"/>
      <c r="M63" s="119"/>
      <c r="N63" s="119"/>
      <c r="O63" s="119"/>
      <c r="P63" s="118">
        <v>89.25</v>
      </c>
      <c r="Q63" s="119"/>
      <c r="R63" s="119"/>
      <c r="S63" s="119"/>
      <c r="T63" s="119"/>
      <c r="U63" s="119"/>
      <c r="V63" s="118">
        <f>SUM(J63:U63)</f>
      </c>
      <c r="W63" s="121" t="s">
        <v>1178</v>
      </c>
      <c r="X63" s="122"/>
      <c r="Y63" s="122"/>
    </row>
    <row x14ac:dyDescent="0.25" r="64" customHeight="1" ht="18.75">
      <c r="A64" s="114" t="s">
        <v>1351</v>
      </c>
      <c r="B64" s="115" t="s">
        <v>1352</v>
      </c>
      <c r="C64" s="116" t="s">
        <v>1353</v>
      </c>
      <c r="D64" s="117">
        <v>45313</v>
      </c>
      <c r="E64" s="117">
        <v>45292</v>
      </c>
      <c r="F64" s="118">
        <v>274493.74</v>
      </c>
      <c r="G64" s="118">
        <v>54898.75</v>
      </c>
      <c r="H64" s="118">
        <v>0</v>
      </c>
      <c r="I64" s="118">
        <v>0</v>
      </c>
      <c r="J64" s="118">
        <v>97463.98</v>
      </c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8">
        <f>SUM(J64:U64)</f>
      </c>
      <c r="W64" s="121" t="s">
        <v>1178</v>
      </c>
      <c r="X64" s="122"/>
      <c r="Y64" s="122"/>
    </row>
    <row x14ac:dyDescent="0.25" r="65" customHeight="1" ht="18.75">
      <c r="A65" s="114" t="s">
        <v>1354</v>
      </c>
      <c r="B65" s="115" t="s">
        <v>1355</v>
      </c>
      <c r="C65" s="116" t="s">
        <v>1356</v>
      </c>
      <c r="D65" s="117">
        <v>45446</v>
      </c>
      <c r="E65" s="117">
        <v>45444</v>
      </c>
      <c r="F65" s="118">
        <v>53299.21</v>
      </c>
      <c r="G65" s="118">
        <v>10659.84</v>
      </c>
      <c r="H65" s="118">
        <v>0</v>
      </c>
      <c r="I65" s="118">
        <v>0</v>
      </c>
      <c r="J65" s="119"/>
      <c r="K65" s="119"/>
      <c r="L65" s="119"/>
      <c r="M65" s="119"/>
      <c r="N65" s="119"/>
      <c r="O65" s="118">
        <v>11680.94</v>
      </c>
      <c r="P65" s="119"/>
      <c r="Q65" s="119"/>
      <c r="R65" s="119"/>
      <c r="S65" s="119"/>
      <c r="T65" s="119"/>
      <c r="U65" s="119"/>
      <c r="V65" s="118">
        <f>SUM(J65:U65)</f>
      </c>
      <c r="W65" s="121" t="s">
        <v>1178</v>
      </c>
      <c r="X65" s="122"/>
      <c r="Y65" s="122"/>
    </row>
    <row x14ac:dyDescent="0.25" r="66" customHeight="1" ht="18.75">
      <c r="A66" s="114" t="s">
        <v>1357</v>
      </c>
      <c r="B66" s="131" t="s">
        <v>1358</v>
      </c>
      <c r="C66" s="116"/>
      <c r="D66" s="117"/>
      <c r="E66" s="117"/>
      <c r="F66" s="118"/>
      <c r="G66" s="118"/>
      <c r="H66" s="118"/>
      <c r="I66" s="118"/>
      <c r="J66" s="119"/>
      <c r="K66" s="119"/>
      <c r="L66" s="119"/>
      <c r="M66" s="119"/>
      <c r="N66" s="119"/>
      <c r="O66" s="119"/>
      <c r="P66" s="119"/>
      <c r="Q66" s="118"/>
      <c r="R66" s="119"/>
      <c r="S66" s="118">
        <v>1991</v>
      </c>
      <c r="T66" s="118"/>
      <c r="U66" s="118"/>
      <c r="V66" s="118">
        <f>SUM(J66:U66)</f>
      </c>
      <c r="W66" s="121" t="s">
        <v>1178</v>
      </c>
      <c r="X66" s="122"/>
      <c r="Y66" s="122"/>
    </row>
    <row x14ac:dyDescent="0.25" r="67" customHeight="1" ht="18.75">
      <c r="A67" s="114" t="s">
        <v>1359</v>
      </c>
      <c r="B67" s="115" t="s">
        <v>1360</v>
      </c>
      <c r="C67" s="116" t="s">
        <v>1361</v>
      </c>
      <c r="D67" s="117">
        <v>45439</v>
      </c>
      <c r="E67" s="117">
        <v>45413</v>
      </c>
      <c r="F67" s="118">
        <v>50368.42</v>
      </c>
      <c r="G67" s="118">
        <v>10073.68</v>
      </c>
      <c r="H67" s="118">
        <v>0</v>
      </c>
      <c r="I67" s="118">
        <v>0</v>
      </c>
      <c r="J67" s="119"/>
      <c r="K67" s="123">
        <v>35000</v>
      </c>
      <c r="L67" s="119"/>
      <c r="M67" s="119"/>
      <c r="N67" s="118">
        <v>35000</v>
      </c>
      <c r="O67" s="119"/>
      <c r="P67" s="119"/>
      <c r="Q67" s="118">
        <v>35000</v>
      </c>
      <c r="R67" s="119"/>
      <c r="S67" s="119"/>
      <c r="T67" s="118">
        <v>35000</v>
      </c>
      <c r="U67" s="119"/>
      <c r="V67" s="118">
        <f>SUM(J67:U67)</f>
      </c>
      <c r="W67" s="121" t="s">
        <v>1178</v>
      </c>
      <c r="X67" s="122"/>
      <c r="Y67" s="122"/>
    </row>
    <row x14ac:dyDescent="0.25" r="68" customHeight="1" ht="18.75">
      <c r="A68" s="114" t="s">
        <v>1362</v>
      </c>
      <c r="B68" s="115" t="s">
        <v>1363</v>
      </c>
      <c r="C68" s="116"/>
      <c r="D68" s="117"/>
      <c r="E68" s="117"/>
      <c r="F68" s="118"/>
      <c r="G68" s="118"/>
      <c r="H68" s="118"/>
      <c r="I68" s="118"/>
      <c r="J68" s="119"/>
      <c r="K68" s="119"/>
      <c r="L68" s="119"/>
      <c r="M68" s="119"/>
      <c r="N68" s="118"/>
      <c r="O68" s="119"/>
      <c r="P68" s="119"/>
      <c r="Q68" s="118">
        <v>50000</v>
      </c>
      <c r="R68" s="119"/>
      <c r="S68" s="119"/>
      <c r="T68" s="119"/>
      <c r="U68" s="119"/>
      <c r="V68" s="118">
        <f>SUM(J68:U68)</f>
      </c>
      <c r="W68" s="121" t="s">
        <v>1178</v>
      </c>
      <c r="X68" s="122"/>
      <c r="Y68" s="122"/>
    </row>
    <row x14ac:dyDescent="0.25" r="69" customHeight="1" ht="18.75">
      <c r="A69" s="114" t="s">
        <v>1364</v>
      </c>
      <c r="B69" s="115" t="s">
        <v>1365</v>
      </c>
      <c r="C69" s="116" t="s">
        <v>1366</v>
      </c>
      <c r="D69" s="117">
        <v>45475</v>
      </c>
      <c r="E69" s="117">
        <v>45474</v>
      </c>
      <c r="F69" s="118">
        <v>10542.32</v>
      </c>
      <c r="G69" s="118">
        <v>2108.46</v>
      </c>
      <c r="H69" s="118">
        <v>0</v>
      </c>
      <c r="I69" s="118">
        <v>0</v>
      </c>
      <c r="J69" s="119"/>
      <c r="K69" s="119"/>
      <c r="L69" s="119"/>
      <c r="M69" s="119"/>
      <c r="N69" s="119"/>
      <c r="O69" s="119"/>
      <c r="P69" s="118">
        <v>2108.46</v>
      </c>
      <c r="Q69" s="119"/>
      <c r="R69" s="119"/>
      <c r="S69" s="119"/>
      <c r="T69" s="119"/>
      <c r="U69" s="119"/>
      <c r="V69" s="118">
        <f>SUM(J69:U69)</f>
      </c>
      <c r="W69" s="121" t="s">
        <v>1178</v>
      </c>
      <c r="X69" s="122"/>
      <c r="Y69" s="122"/>
    </row>
    <row x14ac:dyDescent="0.25" r="70" customHeight="1" ht="18.75">
      <c r="A70" s="114" t="s">
        <v>1367</v>
      </c>
      <c r="B70" s="115" t="s">
        <v>1368</v>
      </c>
      <c r="C70" s="116" t="s">
        <v>1369</v>
      </c>
      <c r="D70" s="117">
        <v>45334</v>
      </c>
      <c r="E70" s="117">
        <v>45352</v>
      </c>
      <c r="F70" s="118">
        <v>55207.95</v>
      </c>
      <c r="G70" s="118">
        <v>5520.8</v>
      </c>
      <c r="H70" s="118">
        <v>0</v>
      </c>
      <c r="I70" s="118">
        <v>0</v>
      </c>
      <c r="J70" s="119"/>
      <c r="K70" s="119"/>
      <c r="L70" s="118">
        <v>27802.61</v>
      </c>
      <c r="M70" s="119"/>
      <c r="N70" s="119"/>
      <c r="O70" s="119"/>
      <c r="P70" s="119"/>
      <c r="Q70" s="119"/>
      <c r="R70" s="119"/>
      <c r="S70" s="119"/>
      <c r="T70" s="119"/>
      <c r="U70" s="119"/>
      <c r="V70" s="118">
        <f>SUM(J70:U70)</f>
      </c>
      <c r="W70" s="121" t="s">
        <v>1178</v>
      </c>
      <c r="X70" s="122"/>
      <c r="Y70" s="122"/>
    </row>
    <row x14ac:dyDescent="0.25" r="71" customHeight="1" ht="18.75">
      <c r="A71" s="114" t="s">
        <v>1370</v>
      </c>
      <c r="B71" s="115" t="s">
        <v>1371</v>
      </c>
      <c r="C71" s="116"/>
      <c r="D71" s="117"/>
      <c r="E71" s="117"/>
      <c r="F71" s="118"/>
      <c r="G71" s="118"/>
      <c r="H71" s="118"/>
      <c r="I71" s="118"/>
      <c r="J71" s="119"/>
      <c r="K71" s="119"/>
      <c r="L71" s="119"/>
      <c r="M71" s="119"/>
      <c r="N71" s="119"/>
      <c r="O71" s="119"/>
      <c r="P71" s="119"/>
      <c r="Q71" s="118"/>
      <c r="R71" s="119"/>
      <c r="S71" s="118">
        <v>25692</v>
      </c>
      <c r="T71" s="118"/>
      <c r="U71" s="118"/>
      <c r="V71" s="118">
        <f>SUM(J71:U71)</f>
      </c>
      <c r="W71" s="121" t="s">
        <v>1178</v>
      </c>
      <c r="X71" s="122"/>
      <c r="Y71" s="122"/>
    </row>
    <row x14ac:dyDescent="0.25" r="72" customHeight="1" ht="18.75">
      <c r="A72" s="114" t="s">
        <v>1372</v>
      </c>
      <c r="B72" s="115" t="s">
        <v>1373</v>
      </c>
      <c r="C72" s="116"/>
      <c r="D72" s="117"/>
      <c r="E72" s="117"/>
      <c r="F72" s="118"/>
      <c r="G72" s="118"/>
      <c r="H72" s="118"/>
      <c r="I72" s="118"/>
      <c r="J72" s="141">
        <v>3000</v>
      </c>
      <c r="K72" s="119"/>
      <c r="L72" s="119"/>
      <c r="M72" s="119"/>
      <c r="N72" s="119"/>
      <c r="O72" s="119"/>
      <c r="P72" s="119"/>
      <c r="Q72" s="118"/>
      <c r="R72" s="119"/>
      <c r="S72" s="118"/>
      <c r="T72" s="118"/>
      <c r="U72" s="118"/>
      <c r="V72" s="118">
        <f>SUM(J72:U72)</f>
      </c>
      <c r="W72" s="121" t="s">
        <v>1178</v>
      </c>
      <c r="X72" s="122"/>
      <c r="Y72" s="122"/>
    </row>
    <row x14ac:dyDescent="0.25" r="73" customHeight="1" ht="18.75">
      <c r="A73" s="114" t="s">
        <v>1374</v>
      </c>
      <c r="B73" s="115" t="s">
        <v>1375</v>
      </c>
      <c r="C73" s="116" t="s">
        <v>1376</v>
      </c>
      <c r="D73" s="117">
        <v>45392</v>
      </c>
      <c r="E73" s="117">
        <v>45383</v>
      </c>
      <c r="F73" s="118">
        <v>191616.72</v>
      </c>
      <c r="G73" s="118">
        <v>38323.340000000004</v>
      </c>
      <c r="H73" s="118">
        <v>0</v>
      </c>
      <c r="I73" s="118">
        <v>0</v>
      </c>
      <c r="J73" s="119"/>
      <c r="K73" s="119"/>
      <c r="L73" s="119"/>
      <c r="M73" s="118">
        <v>43959.79</v>
      </c>
      <c r="N73" s="119"/>
      <c r="O73" s="119"/>
      <c r="P73" s="119"/>
      <c r="Q73" s="119"/>
      <c r="R73" s="119"/>
      <c r="S73" s="119"/>
      <c r="T73" s="119"/>
      <c r="U73" s="119"/>
      <c r="V73" s="118">
        <f>SUM(J73:U73)</f>
      </c>
      <c r="W73" s="121" t="s">
        <v>1178</v>
      </c>
      <c r="X73" s="122"/>
      <c r="Y73" s="122"/>
    </row>
    <row x14ac:dyDescent="0.25" r="74" customHeight="1" ht="18.75">
      <c r="A74" s="114" t="s">
        <v>1377</v>
      </c>
      <c r="B74" s="115" t="s">
        <v>1378</v>
      </c>
      <c r="C74" s="116" t="s">
        <v>1379</v>
      </c>
      <c r="D74" s="117">
        <v>45510</v>
      </c>
      <c r="E74" s="117">
        <v>45505</v>
      </c>
      <c r="F74" s="118">
        <v>30030.76</v>
      </c>
      <c r="G74" s="118">
        <v>6006.15</v>
      </c>
      <c r="H74" s="118">
        <v>0</v>
      </c>
      <c r="I74" s="118">
        <v>0</v>
      </c>
      <c r="J74" s="119"/>
      <c r="K74" s="119"/>
      <c r="L74" s="119"/>
      <c r="M74" s="119"/>
      <c r="N74" s="119"/>
      <c r="O74" s="119"/>
      <c r="P74" s="119"/>
      <c r="Q74" s="118">
        <v>6006.15</v>
      </c>
      <c r="R74" s="119"/>
      <c r="S74" s="119"/>
      <c r="T74" s="119"/>
      <c r="U74" s="119"/>
      <c r="V74" s="118">
        <f>SUM(J74:U74)</f>
      </c>
      <c r="W74" s="121" t="s">
        <v>1178</v>
      </c>
      <c r="X74" s="122"/>
      <c r="Y74" s="122"/>
    </row>
    <row x14ac:dyDescent="0.25" r="75" customHeight="1" ht="18.75">
      <c r="A75" s="114" t="s">
        <v>1380</v>
      </c>
      <c r="B75" s="115" t="s">
        <v>1381</v>
      </c>
      <c r="C75" s="116" t="s">
        <v>1382</v>
      </c>
      <c r="D75" s="117">
        <v>45496</v>
      </c>
      <c r="E75" s="117">
        <v>45474</v>
      </c>
      <c r="F75" s="118">
        <v>11341.29</v>
      </c>
      <c r="G75" s="118">
        <v>2268.26</v>
      </c>
      <c r="H75" s="118">
        <v>0</v>
      </c>
      <c r="I75" s="118">
        <v>0</v>
      </c>
      <c r="J75" s="119"/>
      <c r="K75" s="119"/>
      <c r="L75" s="119"/>
      <c r="M75" s="119"/>
      <c r="N75" s="119"/>
      <c r="O75" s="119"/>
      <c r="P75" s="118">
        <v>3830.76</v>
      </c>
      <c r="Q75" s="119"/>
      <c r="R75" s="119"/>
      <c r="S75" s="119"/>
      <c r="T75" s="119"/>
      <c r="U75" s="119"/>
      <c r="V75" s="118">
        <f>SUM(J75:U75)</f>
      </c>
      <c r="W75" s="121" t="s">
        <v>1178</v>
      </c>
      <c r="X75" s="122"/>
      <c r="Y75" s="122"/>
    </row>
    <row x14ac:dyDescent="0.25" r="76" customHeight="1" ht="18.75">
      <c r="A76" s="114" t="s">
        <v>1383</v>
      </c>
      <c r="B76" s="115" t="s">
        <v>1384</v>
      </c>
      <c r="C76" s="116" t="s">
        <v>1385</v>
      </c>
      <c r="D76" s="117">
        <v>45299</v>
      </c>
      <c r="E76" s="117">
        <v>45292</v>
      </c>
      <c r="F76" s="118">
        <v>15406.15</v>
      </c>
      <c r="G76" s="118">
        <v>1925.77</v>
      </c>
      <c r="H76" s="118">
        <v>0</v>
      </c>
      <c r="I76" s="118">
        <v>0</v>
      </c>
      <c r="J76" s="138">
        <v>12144.09</v>
      </c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8">
        <f>SUM(J76:U76)</f>
      </c>
      <c r="W76" s="121" t="s">
        <v>1178</v>
      </c>
      <c r="X76" s="122"/>
      <c r="Y76" s="122"/>
    </row>
    <row x14ac:dyDescent="0.25" r="77" customHeight="1" ht="18.75">
      <c r="A77" s="114" t="s">
        <v>1386</v>
      </c>
      <c r="B77" s="115" t="s">
        <v>1387</v>
      </c>
      <c r="C77" s="116" t="s">
        <v>1388</v>
      </c>
      <c r="D77" s="117">
        <v>45376</v>
      </c>
      <c r="E77" s="117">
        <v>45383</v>
      </c>
      <c r="F77" s="118">
        <v>956123.96</v>
      </c>
      <c r="G77" s="118">
        <v>0</v>
      </c>
      <c r="H77" s="118">
        <v>0</v>
      </c>
      <c r="I77" s="118">
        <v>0</v>
      </c>
      <c r="J77" s="119"/>
      <c r="K77" s="119"/>
      <c r="L77" s="119"/>
      <c r="M77" s="118">
        <v>58000</v>
      </c>
      <c r="N77" s="119"/>
      <c r="O77" s="119"/>
      <c r="P77" s="119"/>
      <c r="Q77" s="119"/>
      <c r="R77" s="119"/>
      <c r="S77" s="119"/>
      <c r="T77" s="119"/>
      <c r="U77" s="119"/>
      <c r="V77" s="118">
        <f>SUM(J77:U77)</f>
      </c>
      <c r="W77" s="121" t="s">
        <v>1178</v>
      </c>
      <c r="X77" s="122"/>
      <c r="Y77" s="122"/>
    </row>
    <row x14ac:dyDescent="0.25" r="78" customHeight="1" ht="18.75">
      <c r="A78" s="114" t="s">
        <v>1389</v>
      </c>
      <c r="B78" s="115" t="s">
        <v>1390</v>
      </c>
      <c r="C78" s="116" t="s">
        <v>1388</v>
      </c>
      <c r="D78" s="117">
        <v>45376</v>
      </c>
      <c r="E78" s="117">
        <v>45383</v>
      </c>
      <c r="F78" s="118">
        <v>956123.96</v>
      </c>
      <c r="G78" s="118">
        <v>0</v>
      </c>
      <c r="H78" s="118">
        <v>0</v>
      </c>
      <c r="I78" s="118">
        <v>0</v>
      </c>
      <c r="J78" s="119"/>
      <c r="K78" s="119"/>
      <c r="L78" s="119"/>
      <c r="M78" s="118"/>
      <c r="N78" s="119"/>
      <c r="O78" s="119"/>
      <c r="P78" s="119"/>
      <c r="Q78" s="119"/>
      <c r="R78" s="119"/>
      <c r="S78" s="119"/>
      <c r="T78" s="118">
        <v>3716</v>
      </c>
      <c r="U78" s="119"/>
      <c r="V78" s="118">
        <f>SUM(J78:U78)</f>
      </c>
      <c r="W78" s="121" t="s">
        <v>1178</v>
      </c>
      <c r="X78" s="122"/>
      <c r="Y78" s="122"/>
    </row>
    <row x14ac:dyDescent="0.25" r="79" customHeight="1" ht="18.75">
      <c r="A79" s="114" t="s">
        <v>1391</v>
      </c>
      <c r="B79" s="115" t="s">
        <v>1392</v>
      </c>
      <c r="C79" s="116" t="s">
        <v>1393</v>
      </c>
      <c r="D79" s="117">
        <v>45323</v>
      </c>
      <c r="E79" s="117">
        <v>45323</v>
      </c>
      <c r="F79" s="118">
        <v>23174.34</v>
      </c>
      <c r="G79" s="118">
        <v>4634.87</v>
      </c>
      <c r="H79" s="118">
        <v>0</v>
      </c>
      <c r="I79" s="118">
        <v>0</v>
      </c>
      <c r="J79" s="119"/>
      <c r="K79" s="118">
        <v>19616.22</v>
      </c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8">
        <f>SUM(J79:U79)</f>
      </c>
      <c r="W79" s="121" t="s">
        <v>1178</v>
      </c>
      <c r="X79" s="122"/>
      <c r="Y79" s="122"/>
    </row>
    <row x14ac:dyDescent="0.25" r="80" customHeight="1" ht="18.75">
      <c r="A80" s="114" t="s">
        <v>1394</v>
      </c>
      <c r="B80" s="115" t="s">
        <v>1395</v>
      </c>
      <c r="C80" s="116" t="s">
        <v>1396</v>
      </c>
      <c r="D80" s="117">
        <v>45323</v>
      </c>
      <c r="E80" s="117">
        <v>45323</v>
      </c>
      <c r="F80" s="118">
        <v>-217227.19</v>
      </c>
      <c r="G80" s="118">
        <v>-27153.4</v>
      </c>
      <c r="H80" s="118">
        <v>0</v>
      </c>
      <c r="I80" s="118">
        <v>0</v>
      </c>
      <c r="J80" s="119"/>
      <c r="K80" s="118">
        <v>49977.63</v>
      </c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8">
        <f>SUM(J80:U80)</f>
      </c>
      <c r="W80" s="121" t="s">
        <v>1178</v>
      </c>
      <c r="X80" s="122"/>
      <c r="Y80" s="122"/>
    </row>
    <row x14ac:dyDescent="0.25" r="81" customHeight="1" ht="18.75">
      <c r="A81" s="124" t="s">
        <v>1397</v>
      </c>
      <c r="B81" s="124" t="s">
        <v>1398</v>
      </c>
      <c r="C81" s="125" t="s">
        <v>1399</v>
      </c>
      <c r="D81" s="126">
        <v>45392</v>
      </c>
      <c r="E81" s="126">
        <v>45383</v>
      </c>
      <c r="F81" s="127">
        <v>31843.3</v>
      </c>
      <c r="G81" s="127">
        <v>6368.66</v>
      </c>
      <c r="H81" s="127">
        <v>0</v>
      </c>
      <c r="I81" s="127">
        <v>0</v>
      </c>
      <c r="J81" s="128"/>
      <c r="K81" s="128"/>
      <c r="L81" s="128"/>
      <c r="M81" s="127">
        <v>9896.38</v>
      </c>
      <c r="N81" s="128"/>
      <c r="O81" s="128"/>
      <c r="P81" s="128"/>
      <c r="Q81" s="128"/>
      <c r="R81" s="128"/>
      <c r="S81" s="128"/>
      <c r="T81" s="128"/>
      <c r="U81" s="128"/>
      <c r="V81" s="127">
        <f>SUM(J81:U81)</f>
      </c>
      <c r="W81" s="121" t="s">
        <v>1178</v>
      </c>
      <c r="X81" s="122"/>
      <c r="Y81" s="122"/>
    </row>
    <row x14ac:dyDescent="0.25" r="82" customHeight="1" ht="18.75">
      <c r="A82" s="114" t="s">
        <v>1400</v>
      </c>
      <c r="B82" s="115" t="s">
        <v>1401</v>
      </c>
      <c r="C82" s="116" t="s">
        <v>1402</v>
      </c>
      <c r="D82" s="117">
        <v>45469</v>
      </c>
      <c r="E82" s="117">
        <v>45474</v>
      </c>
      <c r="F82" s="118">
        <v>565966.51</v>
      </c>
      <c r="G82" s="118">
        <v>113193.3</v>
      </c>
      <c r="H82" s="118">
        <v>0</v>
      </c>
      <c r="I82" s="118">
        <v>0</v>
      </c>
      <c r="J82" s="119"/>
      <c r="K82" s="119"/>
      <c r="L82" s="119"/>
      <c r="M82" s="119"/>
      <c r="N82" s="119"/>
      <c r="O82" s="119"/>
      <c r="P82" s="118">
        <v>161464.43</v>
      </c>
      <c r="Q82" s="119"/>
      <c r="R82" s="119"/>
      <c r="S82" s="119"/>
      <c r="T82" s="119"/>
      <c r="U82" s="119"/>
      <c r="V82" s="118">
        <f>SUM(J82:U82)</f>
      </c>
      <c r="W82" s="121" t="s">
        <v>1178</v>
      </c>
      <c r="X82" s="122"/>
      <c r="Y82" s="122"/>
    </row>
    <row x14ac:dyDescent="0.25" r="83" customHeight="1" ht="18.75">
      <c r="A83" s="114" t="s">
        <v>1403</v>
      </c>
      <c r="B83" s="115" t="s">
        <v>1404</v>
      </c>
      <c r="C83" s="116" t="s">
        <v>1405</v>
      </c>
      <c r="D83" s="117">
        <v>45313</v>
      </c>
      <c r="E83" s="117">
        <v>45292</v>
      </c>
      <c r="F83" s="118">
        <v>18157.02</v>
      </c>
      <c r="G83" s="118">
        <v>2269.63</v>
      </c>
      <c r="H83" s="118">
        <v>0</v>
      </c>
      <c r="I83" s="118">
        <v>0</v>
      </c>
      <c r="J83" s="141">
        <v>169649.4</v>
      </c>
      <c r="K83" s="119"/>
      <c r="L83" s="119"/>
      <c r="M83" s="118">
        <v>169649.4</v>
      </c>
      <c r="N83" s="119"/>
      <c r="O83" s="119"/>
      <c r="P83" s="118">
        <v>169649.4</v>
      </c>
      <c r="Q83" s="119"/>
      <c r="R83" s="119"/>
      <c r="S83" s="118">
        <v>169649.4</v>
      </c>
      <c r="T83" s="119"/>
      <c r="U83" s="119"/>
      <c r="V83" s="118">
        <f>SUM(J83:U83)</f>
      </c>
      <c r="W83" s="121" t="s">
        <v>1178</v>
      </c>
      <c r="X83" s="122"/>
      <c r="Y83" s="122"/>
    </row>
    <row x14ac:dyDescent="0.25" r="84" customHeight="1" ht="18.75">
      <c r="A84" s="114" t="s">
        <v>1406</v>
      </c>
      <c r="B84" s="115" t="s">
        <v>1407</v>
      </c>
      <c r="C84" s="116" t="s">
        <v>1408</v>
      </c>
      <c r="D84" s="117">
        <v>45496</v>
      </c>
      <c r="E84" s="117">
        <v>45474</v>
      </c>
      <c r="F84" s="118">
        <v>15710.9</v>
      </c>
      <c r="G84" s="118">
        <v>3142.18</v>
      </c>
      <c r="H84" s="118">
        <v>0</v>
      </c>
      <c r="I84" s="118">
        <v>0</v>
      </c>
      <c r="J84" s="119"/>
      <c r="K84" s="119"/>
      <c r="L84" s="119"/>
      <c r="M84" s="119"/>
      <c r="N84" s="119"/>
      <c r="O84" s="119"/>
      <c r="P84" s="118">
        <v>3142.18</v>
      </c>
      <c r="Q84" s="119"/>
      <c r="R84" s="119"/>
      <c r="S84" s="119"/>
      <c r="T84" s="119"/>
      <c r="U84" s="119"/>
      <c r="V84" s="118">
        <f>SUM(J84:U84)</f>
      </c>
      <c r="W84" s="121" t="s">
        <v>1178</v>
      </c>
      <c r="X84" s="122"/>
      <c r="Y84" s="122"/>
    </row>
    <row x14ac:dyDescent="0.25" r="85" customHeight="1" ht="18.75">
      <c r="A85" s="114" t="s">
        <v>1409</v>
      </c>
      <c r="B85" s="115" t="s">
        <v>1410</v>
      </c>
      <c r="C85" s="116" t="s">
        <v>1411</v>
      </c>
      <c r="D85" s="117">
        <v>45320</v>
      </c>
      <c r="E85" s="117">
        <v>45292</v>
      </c>
      <c r="F85" s="118">
        <v>55500.57</v>
      </c>
      <c r="G85" s="118">
        <v>11100.11</v>
      </c>
      <c r="H85" s="118">
        <v>0</v>
      </c>
      <c r="I85" s="118">
        <v>0</v>
      </c>
      <c r="J85" s="118">
        <v>11100.11</v>
      </c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8">
        <f>SUM(J85:U85)</f>
      </c>
      <c r="W85" s="121" t="s">
        <v>1178</v>
      </c>
      <c r="X85" s="122"/>
      <c r="Y85" s="122"/>
    </row>
    <row x14ac:dyDescent="0.25" r="86" customHeight="1" ht="18.75">
      <c r="A86" s="114" t="s">
        <v>1412</v>
      </c>
      <c r="B86" s="115" t="s">
        <v>1413</v>
      </c>
      <c r="C86" s="116" t="s">
        <v>1414</v>
      </c>
      <c r="D86" s="117">
        <v>45352</v>
      </c>
      <c r="E86" s="117">
        <v>45471</v>
      </c>
      <c r="F86" s="118">
        <v>6900.59</v>
      </c>
      <c r="G86" s="118">
        <v>1380.12</v>
      </c>
      <c r="H86" s="118">
        <v>0</v>
      </c>
      <c r="I86" s="118">
        <v>0</v>
      </c>
      <c r="J86" s="119"/>
      <c r="K86" s="119"/>
      <c r="L86" s="119"/>
      <c r="M86" s="119"/>
      <c r="N86" s="119"/>
      <c r="O86" s="118">
        <v>1380.12</v>
      </c>
      <c r="P86" s="119"/>
      <c r="Q86" s="119"/>
      <c r="R86" s="119"/>
      <c r="S86" s="119"/>
      <c r="T86" s="119"/>
      <c r="U86" s="119"/>
      <c r="V86" s="118">
        <f>SUM(J86:U86)</f>
      </c>
      <c r="W86" s="121" t="s">
        <v>1178</v>
      </c>
      <c r="X86" s="122"/>
      <c r="Y86" s="122"/>
    </row>
    <row x14ac:dyDescent="0.25" r="87" customHeight="1" ht="18.75">
      <c r="A87" s="114" t="s">
        <v>1415</v>
      </c>
      <c r="B87" s="115" t="s">
        <v>1416</v>
      </c>
      <c r="C87" s="116" t="s">
        <v>1417</v>
      </c>
      <c r="D87" s="117">
        <v>45387</v>
      </c>
      <c r="E87" s="117">
        <v>45387</v>
      </c>
      <c r="F87" s="118">
        <v>582.62</v>
      </c>
      <c r="G87" s="118">
        <v>116.52</v>
      </c>
      <c r="H87" s="118">
        <v>0</v>
      </c>
      <c r="I87" s="118">
        <v>0</v>
      </c>
      <c r="J87" s="118">
        <v>79307.97</v>
      </c>
      <c r="K87" s="119"/>
      <c r="L87" s="119"/>
      <c r="M87" s="118">
        <v>0</v>
      </c>
      <c r="N87" s="119"/>
      <c r="O87" s="119"/>
      <c r="P87" s="119"/>
      <c r="Q87" s="119"/>
      <c r="R87" s="119"/>
      <c r="S87" s="119"/>
      <c r="T87" s="119"/>
      <c r="U87" s="119"/>
      <c r="V87" s="118">
        <f>SUM(J87:U87)</f>
      </c>
      <c r="W87" s="121" t="s">
        <v>1178</v>
      </c>
      <c r="X87" s="122"/>
      <c r="Y87" s="122"/>
    </row>
    <row x14ac:dyDescent="0.25" r="88" customHeight="1" ht="18.75">
      <c r="A88" s="114" t="s">
        <v>1418</v>
      </c>
      <c r="B88" s="115" t="s">
        <v>1419</v>
      </c>
      <c r="C88" s="116" t="s">
        <v>1420</v>
      </c>
      <c r="D88" s="117">
        <v>45401</v>
      </c>
      <c r="E88" s="117">
        <v>45383</v>
      </c>
      <c r="F88" s="118">
        <v>7101.75</v>
      </c>
      <c r="G88" s="118">
        <v>1420.35</v>
      </c>
      <c r="H88" s="118">
        <v>0</v>
      </c>
      <c r="I88" s="118">
        <v>0</v>
      </c>
      <c r="J88" s="119"/>
      <c r="K88" s="119"/>
      <c r="L88" s="119"/>
      <c r="M88" s="118">
        <v>1693.23</v>
      </c>
      <c r="N88" s="119"/>
      <c r="O88" s="119"/>
      <c r="P88" s="119"/>
      <c r="Q88" s="119"/>
      <c r="R88" s="119"/>
      <c r="S88" s="119"/>
      <c r="T88" s="119"/>
      <c r="U88" s="119"/>
      <c r="V88" s="118">
        <f>SUM(J88:U88)</f>
      </c>
      <c r="W88" s="121" t="s">
        <v>1178</v>
      </c>
      <c r="X88" s="122"/>
      <c r="Y88" s="122"/>
    </row>
    <row x14ac:dyDescent="0.25" r="89" customHeight="1" ht="18.75">
      <c r="A89" s="114" t="s">
        <v>1421</v>
      </c>
      <c r="B89" s="115" t="s">
        <v>1422</v>
      </c>
      <c r="C89" s="116" t="s">
        <v>1423</v>
      </c>
      <c r="D89" s="117">
        <v>45401</v>
      </c>
      <c r="E89" s="117">
        <v>45383</v>
      </c>
      <c r="F89" s="118">
        <v>7101.75</v>
      </c>
      <c r="G89" s="118">
        <v>1420.35</v>
      </c>
      <c r="H89" s="118">
        <v>0</v>
      </c>
      <c r="I89" s="118">
        <v>0</v>
      </c>
      <c r="J89" s="119"/>
      <c r="K89" s="119"/>
      <c r="L89" s="119"/>
      <c r="M89" s="118">
        <v>1420.35</v>
      </c>
      <c r="N89" s="119"/>
      <c r="O89" s="119"/>
      <c r="P89" s="119"/>
      <c r="Q89" s="119"/>
      <c r="R89" s="119"/>
      <c r="S89" s="119"/>
      <c r="T89" s="119"/>
      <c r="U89" s="119"/>
      <c r="V89" s="118">
        <f>SUM(J89:U89)</f>
      </c>
      <c r="W89" s="121" t="s">
        <v>1178</v>
      </c>
      <c r="X89" s="122"/>
      <c r="Y89" s="122"/>
    </row>
    <row x14ac:dyDescent="0.25" r="90" customHeight="1" ht="18.75">
      <c r="A90" s="114" t="s">
        <v>1424</v>
      </c>
      <c r="B90" s="115" t="s">
        <v>1425</v>
      </c>
      <c r="C90" s="116" t="s">
        <v>1426</v>
      </c>
      <c r="D90" s="117">
        <v>45470</v>
      </c>
      <c r="E90" s="117">
        <v>45474</v>
      </c>
      <c r="F90" s="118">
        <v>107277.71</v>
      </c>
      <c r="G90" s="118">
        <v>21455.54</v>
      </c>
      <c r="H90" s="118">
        <v>0</v>
      </c>
      <c r="I90" s="118">
        <v>0</v>
      </c>
      <c r="J90" s="119"/>
      <c r="K90" s="119"/>
      <c r="L90" s="119"/>
      <c r="M90" s="119"/>
      <c r="N90" s="119"/>
      <c r="O90" s="119"/>
      <c r="P90" s="118">
        <v>21455.54</v>
      </c>
      <c r="Q90" s="119"/>
      <c r="R90" s="119"/>
      <c r="S90" s="119"/>
      <c r="T90" s="119"/>
      <c r="U90" s="119"/>
      <c r="V90" s="118">
        <f>SUM(J90:U90)</f>
      </c>
      <c r="W90" s="121" t="s">
        <v>1178</v>
      </c>
      <c r="X90" s="122"/>
      <c r="Y90" s="122"/>
    </row>
    <row x14ac:dyDescent="0.25" r="91" customHeight="1" ht="18.75">
      <c r="A91" s="114" t="s">
        <v>1427</v>
      </c>
      <c r="B91" s="115" t="s">
        <v>1428</v>
      </c>
      <c r="C91" s="116" t="s">
        <v>1429</v>
      </c>
      <c r="D91" s="117">
        <v>45463</v>
      </c>
      <c r="E91" s="117">
        <v>45474</v>
      </c>
      <c r="F91" s="118">
        <v>107338.26</v>
      </c>
      <c r="G91" s="118">
        <v>10733.83</v>
      </c>
      <c r="H91" s="118">
        <v>0</v>
      </c>
      <c r="I91" s="118">
        <v>0</v>
      </c>
      <c r="J91" s="119"/>
      <c r="K91" s="119"/>
      <c r="L91" s="119"/>
      <c r="M91" s="119"/>
      <c r="N91" s="119"/>
      <c r="O91" s="119"/>
      <c r="P91" s="118">
        <v>10733.83</v>
      </c>
      <c r="Q91" s="119"/>
      <c r="R91" s="119"/>
      <c r="S91" s="119"/>
      <c r="T91" s="119"/>
      <c r="U91" s="119"/>
      <c r="V91" s="118">
        <f>SUM(J91:U91)</f>
      </c>
      <c r="W91" s="121" t="s">
        <v>1178</v>
      </c>
      <c r="X91" s="122"/>
      <c r="Y91" s="122"/>
    </row>
    <row x14ac:dyDescent="0.25" r="92" customHeight="1" ht="18.75">
      <c r="A92" s="114" t="s">
        <v>1430</v>
      </c>
      <c r="B92" s="115" t="s">
        <v>1431</v>
      </c>
      <c r="C92" s="116" t="s">
        <v>1432</v>
      </c>
      <c r="D92" s="117">
        <v>45532</v>
      </c>
      <c r="E92" s="117">
        <v>45474</v>
      </c>
      <c r="F92" s="118">
        <v>6419.74</v>
      </c>
      <c r="G92" s="118">
        <v>1283.95</v>
      </c>
      <c r="H92" s="118">
        <v>0</v>
      </c>
      <c r="I92" s="118">
        <v>0</v>
      </c>
      <c r="J92" s="119"/>
      <c r="K92" s="119"/>
      <c r="L92" s="119"/>
      <c r="M92" s="119"/>
      <c r="N92" s="119"/>
      <c r="O92" s="119"/>
      <c r="P92" s="118">
        <v>1283.95</v>
      </c>
      <c r="Q92" s="119"/>
      <c r="R92" s="119"/>
      <c r="S92" s="119"/>
      <c r="T92" s="119"/>
      <c r="U92" s="119"/>
      <c r="V92" s="118">
        <f>SUM(J92:U92)</f>
      </c>
      <c r="W92" s="121" t="s">
        <v>1178</v>
      </c>
      <c r="X92" s="122"/>
      <c r="Y92" s="122"/>
    </row>
    <row x14ac:dyDescent="0.25" r="93" customHeight="1" ht="18.75">
      <c r="A93" s="114" t="s">
        <v>1433</v>
      </c>
      <c r="B93" s="115" t="s">
        <v>1434</v>
      </c>
      <c r="C93" s="116" t="s">
        <v>1435</v>
      </c>
      <c r="D93" s="117">
        <v>45320</v>
      </c>
      <c r="E93" s="117">
        <v>45292</v>
      </c>
      <c r="F93" s="118">
        <v>39473.68</v>
      </c>
      <c r="G93" s="118">
        <v>7894.74</v>
      </c>
      <c r="H93" s="118">
        <v>0</v>
      </c>
      <c r="I93" s="118">
        <v>0</v>
      </c>
      <c r="J93" s="118">
        <v>320103.52</v>
      </c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8">
        <f>SUM(J93:U93)</f>
      </c>
      <c r="W93" s="121" t="s">
        <v>1178</v>
      </c>
      <c r="X93" s="122"/>
      <c r="Y93" s="122"/>
    </row>
    <row x14ac:dyDescent="0.25" r="94" customHeight="1" ht="18.75">
      <c r="A94" s="114" t="s">
        <v>1436</v>
      </c>
      <c r="B94" s="115" t="s">
        <v>1437</v>
      </c>
      <c r="C94" s="116"/>
      <c r="D94" s="117"/>
      <c r="E94" s="117"/>
      <c r="F94" s="118"/>
      <c r="G94" s="118"/>
      <c r="H94" s="118"/>
      <c r="I94" s="118"/>
      <c r="J94" s="118">
        <v>168682.05</v>
      </c>
      <c r="K94" s="128" t="s">
        <v>1438</v>
      </c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8">
        <f>SUM(J94:U94)</f>
      </c>
      <c r="W94" s="121" t="s">
        <v>1178</v>
      </c>
      <c r="X94" s="122"/>
      <c r="Y94" s="122"/>
    </row>
    <row x14ac:dyDescent="0.25" r="95" customHeight="1" ht="18.75">
      <c r="A95" s="114" t="s">
        <v>1439</v>
      </c>
      <c r="B95" s="115" t="s">
        <v>1440</v>
      </c>
      <c r="C95" s="116"/>
      <c r="D95" s="117"/>
      <c r="E95" s="117"/>
      <c r="F95" s="118"/>
      <c r="G95" s="118"/>
      <c r="H95" s="118"/>
      <c r="I95" s="118"/>
      <c r="J95" s="118">
        <v>8601.47</v>
      </c>
      <c r="K95" s="128"/>
      <c r="L95" s="128" t="s">
        <v>1438</v>
      </c>
      <c r="M95" s="119"/>
      <c r="N95" s="119"/>
      <c r="O95" s="119"/>
      <c r="P95" s="119"/>
      <c r="Q95" s="119"/>
      <c r="R95" s="119"/>
      <c r="S95" s="119"/>
      <c r="T95" s="119"/>
      <c r="U95" s="119"/>
      <c r="V95" s="118">
        <f>SUM(J95:U95)</f>
      </c>
      <c r="W95" s="121" t="s">
        <v>1178</v>
      </c>
      <c r="X95" s="122"/>
      <c r="Y95" s="122"/>
    </row>
    <row x14ac:dyDescent="0.25" r="96" customHeight="1" ht="18.75">
      <c r="A96" s="114" t="s">
        <v>1441</v>
      </c>
      <c r="B96" s="115" t="s">
        <v>1442</v>
      </c>
      <c r="C96" s="116"/>
      <c r="D96" s="117"/>
      <c r="E96" s="117"/>
      <c r="F96" s="118"/>
      <c r="G96" s="118"/>
      <c r="H96" s="118"/>
      <c r="I96" s="118"/>
      <c r="J96" s="119"/>
      <c r="K96" s="119"/>
      <c r="L96" s="119"/>
      <c r="M96" s="119"/>
      <c r="N96" s="119"/>
      <c r="O96" s="118">
        <v>577.31</v>
      </c>
      <c r="P96" s="119"/>
      <c r="Q96" s="118"/>
      <c r="R96" s="119"/>
      <c r="S96" s="142">
        <v>577</v>
      </c>
      <c r="T96" s="119"/>
      <c r="U96" s="119"/>
      <c r="V96" s="118">
        <f>SUM(J96:U96)</f>
      </c>
      <c r="W96" s="121" t="s">
        <v>1178</v>
      </c>
      <c r="X96" s="122"/>
      <c r="Y96" s="122"/>
    </row>
    <row x14ac:dyDescent="0.25" r="97" customHeight="1" ht="18.75">
      <c r="A97" s="114" t="s">
        <v>1443</v>
      </c>
      <c r="B97" s="115" t="s">
        <v>1444</v>
      </c>
      <c r="C97" s="116" t="s">
        <v>1445</v>
      </c>
      <c r="D97" s="117">
        <v>45510</v>
      </c>
      <c r="E97" s="117">
        <v>45505</v>
      </c>
      <c r="F97" s="118">
        <v>5424685.9</v>
      </c>
      <c r="G97" s="118">
        <v>813702.89</v>
      </c>
      <c r="H97" s="118">
        <v>0</v>
      </c>
      <c r="I97" s="118">
        <v>0</v>
      </c>
      <c r="J97" s="119"/>
      <c r="K97" s="119"/>
      <c r="L97" s="119"/>
      <c r="M97" s="119"/>
      <c r="N97" s="119"/>
      <c r="O97" s="119"/>
      <c r="P97" s="119"/>
      <c r="Q97" s="118">
        <v>1396174.3</v>
      </c>
      <c r="R97" s="119"/>
      <c r="S97" s="119"/>
      <c r="T97" s="119"/>
      <c r="U97" s="119"/>
      <c r="V97" s="118">
        <f>SUM(J97:U97)</f>
      </c>
      <c r="W97" s="121" t="s">
        <v>1178</v>
      </c>
      <c r="X97" s="122"/>
      <c r="Y97" s="122"/>
    </row>
    <row x14ac:dyDescent="0.25" r="98" customHeight="1" ht="18.75">
      <c r="A98" s="124" t="s">
        <v>1446</v>
      </c>
      <c r="B98" s="124" t="s">
        <v>1447</v>
      </c>
      <c r="C98" s="125" t="s">
        <v>1448</v>
      </c>
      <c r="D98" s="126">
        <v>45300</v>
      </c>
      <c r="E98" s="126">
        <v>45292</v>
      </c>
      <c r="F98" s="127">
        <v>133501.16</v>
      </c>
      <c r="G98" s="127">
        <v>26700.23</v>
      </c>
      <c r="H98" s="127">
        <v>0</v>
      </c>
      <c r="I98" s="127">
        <v>0</v>
      </c>
      <c r="J98" s="127">
        <v>39374.27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7">
        <f>SUM(J98:U98)</f>
      </c>
      <c r="W98" s="121" t="s">
        <v>1178</v>
      </c>
      <c r="X98" s="122"/>
      <c r="Y98" s="122"/>
    </row>
    <row x14ac:dyDescent="0.25" r="99" customHeight="1" ht="18.75">
      <c r="A99" s="114" t="s">
        <v>1449</v>
      </c>
      <c r="B99" s="115" t="s">
        <v>1450</v>
      </c>
      <c r="C99" s="116" t="s">
        <v>1451</v>
      </c>
      <c r="D99" s="117">
        <v>45505</v>
      </c>
      <c r="E99" s="117">
        <v>45505</v>
      </c>
      <c r="F99" s="118">
        <v>134923.5</v>
      </c>
      <c r="G99" s="118">
        <v>26984.7</v>
      </c>
      <c r="H99" s="118">
        <v>0</v>
      </c>
      <c r="I99" s="118">
        <v>0</v>
      </c>
      <c r="J99" s="119"/>
      <c r="K99" s="119"/>
      <c r="L99" s="119"/>
      <c r="M99" s="119"/>
      <c r="N99" s="119"/>
      <c r="O99" s="119"/>
      <c r="P99" s="119"/>
      <c r="Q99" s="118">
        <v>102439.88</v>
      </c>
      <c r="R99" s="119"/>
      <c r="S99" s="119"/>
      <c r="T99" s="119"/>
      <c r="U99" s="119"/>
      <c r="V99" s="118">
        <f>SUM(J99:U99)</f>
      </c>
      <c r="W99" s="121" t="s">
        <v>1178</v>
      </c>
      <c r="X99" s="122"/>
      <c r="Y99" s="122"/>
    </row>
    <row x14ac:dyDescent="0.25" r="100" customHeight="1" ht="18.75">
      <c r="A100" s="114" t="s">
        <v>1452</v>
      </c>
      <c r="B100" s="115" t="s">
        <v>1453</v>
      </c>
      <c r="C100" s="116" t="s">
        <v>1454</v>
      </c>
      <c r="D100" s="117">
        <v>45370</v>
      </c>
      <c r="E100" s="117">
        <v>45379</v>
      </c>
      <c r="F100" s="118">
        <v>37372.26</v>
      </c>
      <c r="G100" s="118">
        <v>7474.45</v>
      </c>
      <c r="H100" s="118">
        <v>0</v>
      </c>
      <c r="I100" s="118">
        <v>0</v>
      </c>
      <c r="J100" s="119"/>
      <c r="K100" s="119"/>
      <c r="L100" s="118">
        <v>7474.45</v>
      </c>
      <c r="M100" s="119"/>
      <c r="N100" s="119"/>
      <c r="O100" s="119"/>
      <c r="P100" s="119"/>
      <c r="Q100" s="119"/>
      <c r="R100" s="119"/>
      <c r="S100" s="119"/>
      <c r="T100" s="119"/>
      <c r="U100" s="119"/>
      <c r="V100" s="118">
        <f>SUM(J100:U100)</f>
      </c>
      <c r="W100" s="121" t="s">
        <v>1178</v>
      </c>
      <c r="X100" s="122"/>
      <c r="Y100" s="122"/>
    </row>
    <row x14ac:dyDescent="0.25" r="101" customHeight="1" ht="18.75">
      <c r="A101" s="114" t="s">
        <v>1455</v>
      </c>
      <c r="B101" s="115" t="s">
        <v>1456</v>
      </c>
      <c r="C101" s="116" t="s">
        <v>1457</v>
      </c>
      <c r="D101" s="117">
        <v>45392</v>
      </c>
      <c r="E101" s="117">
        <v>45383</v>
      </c>
      <c r="F101" s="118">
        <v>14780.7</v>
      </c>
      <c r="G101" s="118">
        <v>2956.14</v>
      </c>
      <c r="H101" s="118">
        <v>0</v>
      </c>
      <c r="I101" s="118">
        <v>0</v>
      </c>
      <c r="J101" s="119"/>
      <c r="K101" s="119"/>
      <c r="L101" s="119"/>
      <c r="M101" s="118">
        <v>2956.14</v>
      </c>
      <c r="N101" s="119"/>
      <c r="O101" s="119"/>
      <c r="P101" s="119"/>
      <c r="Q101" s="119"/>
      <c r="R101" s="119"/>
      <c r="S101" s="119"/>
      <c r="T101" s="119"/>
      <c r="U101" s="119"/>
      <c r="V101" s="118">
        <f>SUM(J101:U101)</f>
      </c>
      <c r="W101" s="121" t="s">
        <v>1178</v>
      </c>
      <c r="X101" s="122"/>
      <c r="Y101" s="122"/>
    </row>
    <row x14ac:dyDescent="0.25" r="102" customHeight="1" ht="18.75">
      <c r="A102" s="114" t="s">
        <v>1458</v>
      </c>
      <c r="B102" s="115" t="s">
        <v>1459</v>
      </c>
      <c r="C102" s="116" t="s">
        <v>1460</v>
      </c>
      <c r="D102" s="117">
        <v>45398</v>
      </c>
      <c r="E102" s="117">
        <v>45393</v>
      </c>
      <c r="F102" s="118">
        <v>87452.86</v>
      </c>
      <c r="G102" s="118">
        <v>17490.57</v>
      </c>
      <c r="H102" s="118">
        <v>0</v>
      </c>
      <c r="I102" s="118">
        <v>0</v>
      </c>
      <c r="J102" s="119"/>
      <c r="K102" s="119"/>
      <c r="L102" s="119"/>
      <c r="M102" s="118">
        <v>18024.34</v>
      </c>
      <c r="N102" s="119"/>
      <c r="O102" s="119"/>
      <c r="P102" s="119"/>
      <c r="Q102" s="119"/>
      <c r="R102" s="119"/>
      <c r="S102" s="119"/>
      <c r="T102" s="119"/>
      <c r="U102" s="119"/>
      <c r="V102" s="118">
        <f>SUM(J102:U102)</f>
      </c>
      <c r="W102" s="121" t="s">
        <v>1178</v>
      </c>
      <c r="X102" s="122"/>
      <c r="Y102" s="122"/>
    </row>
    <row x14ac:dyDescent="0.25" r="103" customHeight="1" ht="18.75">
      <c r="A103" s="114" t="s">
        <v>1461</v>
      </c>
      <c r="B103" s="115" t="s">
        <v>1462</v>
      </c>
      <c r="C103" s="116" t="s">
        <v>1463</v>
      </c>
      <c r="D103" s="117">
        <v>45499</v>
      </c>
      <c r="E103" s="117">
        <v>45474</v>
      </c>
      <c r="F103" s="118">
        <v>169606.61</v>
      </c>
      <c r="G103" s="118">
        <v>33921.32</v>
      </c>
      <c r="H103" s="118">
        <v>0</v>
      </c>
      <c r="I103" s="118">
        <v>0</v>
      </c>
      <c r="J103" s="119"/>
      <c r="K103" s="119"/>
      <c r="L103" s="119"/>
      <c r="M103" s="119"/>
      <c r="N103" s="119"/>
      <c r="O103" s="119"/>
      <c r="P103" s="118">
        <v>52639.47</v>
      </c>
      <c r="Q103" s="119"/>
      <c r="R103" s="119"/>
      <c r="S103" s="119"/>
      <c r="T103" s="119"/>
      <c r="U103" s="119"/>
      <c r="V103" s="118">
        <f>SUM(J103:U103)</f>
      </c>
      <c r="W103" s="121" t="s">
        <v>1178</v>
      </c>
      <c r="X103" s="122"/>
      <c r="Y103" s="122"/>
    </row>
    <row x14ac:dyDescent="0.25" r="104" customHeight="1" ht="18.75">
      <c r="A104" s="114" t="s">
        <v>1464</v>
      </c>
      <c r="B104" s="131" t="s">
        <v>1465</v>
      </c>
      <c r="C104" s="116"/>
      <c r="D104" s="117"/>
      <c r="E104" s="117"/>
      <c r="F104" s="118"/>
      <c r="G104" s="118"/>
      <c r="H104" s="118"/>
      <c r="I104" s="118"/>
      <c r="J104" s="119"/>
      <c r="K104" s="119"/>
      <c r="L104" s="119"/>
      <c r="M104" s="119"/>
      <c r="N104" s="119"/>
      <c r="O104" s="119"/>
      <c r="P104" s="119"/>
      <c r="Q104" s="118"/>
      <c r="R104" s="119"/>
      <c r="S104" s="118"/>
      <c r="T104" s="127">
        <v>23459</v>
      </c>
      <c r="U104" s="118">
        <v>7366</v>
      </c>
      <c r="V104" s="118">
        <f>SUM(J104:U104)</f>
      </c>
      <c r="W104" s="121" t="s">
        <v>1178</v>
      </c>
      <c r="X104" s="122"/>
      <c r="Y104" s="122"/>
    </row>
    <row x14ac:dyDescent="0.25" r="105" customHeight="1" ht="18.75">
      <c r="A105" s="114" t="s">
        <v>1466</v>
      </c>
      <c r="B105" s="115" t="s">
        <v>1467</v>
      </c>
      <c r="C105" s="116" t="s">
        <v>1468</v>
      </c>
      <c r="D105" s="117">
        <v>45502</v>
      </c>
      <c r="E105" s="117">
        <v>45474</v>
      </c>
      <c r="F105" s="118">
        <v>329370.49</v>
      </c>
      <c r="G105" s="118">
        <v>65874.1</v>
      </c>
      <c r="H105" s="118">
        <v>0</v>
      </c>
      <c r="I105" s="118">
        <v>0</v>
      </c>
      <c r="J105" s="119"/>
      <c r="K105" s="119"/>
      <c r="L105" s="119"/>
      <c r="M105" s="119"/>
      <c r="N105" s="119"/>
      <c r="O105" s="119"/>
      <c r="P105" s="118">
        <v>90149.59</v>
      </c>
      <c r="Q105" s="119"/>
      <c r="R105" s="119"/>
      <c r="S105" s="119"/>
      <c r="T105" s="119"/>
      <c r="U105" s="119"/>
      <c r="V105" s="118">
        <f>SUM(J105:U105)</f>
      </c>
      <c r="W105" s="121" t="s">
        <v>1178</v>
      </c>
      <c r="X105" s="122"/>
      <c r="Y105" s="122"/>
    </row>
    <row x14ac:dyDescent="0.25" r="106" customHeight="1" ht="18.75">
      <c r="A106" s="114" t="s">
        <v>1469</v>
      </c>
      <c r="B106" s="115" t="s">
        <v>1470</v>
      </c>
      <c r="C106" s="116" t="s">
        <v>1471</v>
      </c>
      <c r="D106" s="117">
        <v>45313</v>
      </c>
      <c r="E106" s="117">
        <v>45292</v>
      </c>
      <c r="F106" s="118">
        <v>12405.26</v>
      </c>
      <c r="G106" s="118">
        <v>2481.05</v>
      </c>
      <c r="H106" s="118">
        <v>0</v>
      </c>
      <c r="I106" s="118">
        <v>0</v>
      </c>
      <c r="J106" s="118">
        <v>192930.14</v>
      </c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8">
        <f>SUM(J106:U106)</f>
      </c>
      <c r="W106" s="121" t="s">
        <v>1178</v>
      </c>
      <c r="X106" s="122"/>
      <c r="Y106" s="122"/>
    </row>
    <row x14ac:dyDescent="0.25" r="107" customHeight="1" ht="18.75">
      <c r="A107" s="114" t="s">
        <v>1472</v>
      </c>
      <c r="B107" s="115" t="s">
        <v>1473</v>
      </c>
      <c r="C107" s="116" t="s">
        <v>1474</v>
      </c>
      <c r="D107" s="117">
        <v>45383</v>
      </c>
      <c r="E107" s="117">
        <v>45383</v>
      </c>
      <c r="F107" s="118">
        <v>105559.3</v>
      </c>
      <c r="G107" s="118">
        <v>21111.86</v>
      </c>
      <c r="H107" s="118">
        <v>0</v>
      </c>
      <c r="I107" s="118">
        <v>0</v>
      </c>
      <c r="J107" s="119"/>
      <c r="K107" s="119"/>
      <c r="L107" s="119"/>
      <c r="M107" s="118">
        <v>32232.56</v>
      </c>
      <c r="N107" s="119"/>
      <c r="O107" s="119"/>
      <c r="P107" s="119"/>
      <c r="Q107" s="119"/>
      <c r="R107" s="119"/>
      <c r="S107" s="119"/>
      <c r="T107" s="119"/>
      <c r="U107" s="119"/>
      <c r="V107" s="118">
        <f>SUM(J107:U107)</f>
      </c>
      <c r="W107" s="121" t="s">
        <v>1178</v>
      </c>
      <c r="X107" s="122"/>
      <c r="Y107" s="122"/>
    </row>
    <row x14ac:dyDescent="0.25" r="108" customHeight="1" ht="18.75">
      <c r="A108" s="114" t="s">
        <v>1475</v>
      </c>
      <c r="B108" s="115" t="s">
        <v>1476</v>
      </c>
      <c r="C108" s="116" t="s">
        <v>1477</v>
      </c>
      <c r="D108" s="117">
        <v>45496</v>
      </c>
      <c r="E108" s="117">
        <v>45474</v>
      </c>
      <c r="F108" s="118">
        <v>3308.79</v>
      </c>
      <c r="G108" s="118">
        <v>661.76</v>
      </c>
      <c r="H108" s="118">
        <v>0</v>
      </c>
      <c r="I108" s="118">
        <v>0</v>
      </c>
      <c r="J108" s="119"/>
      <c r="K108" s="119"/>
      <c r="L108" s="119"/>
      <c r="M108" s="119"/>
      <c r="N108" s="119"/>
      <c r="O108" s="119"/>
      <c r="P108" s="118">
        <v>661.76</v>
      </c>
      <c r="Q108" s="119"/>
      <c r="R108" s="119"/>
      <c r="S108" s="119"/>
      <c r="T108" s="119"/>
      <c r="U108" s="119"/>
      <c r="V108" s="118">
        <f>SUM(J108:U108)</f>
      </c>
      <c r="W108" s="121" t="s">
        <v>1178</v>
      </c>
      <c r="X108" s="122"/>
      <c r="Y108" s="122"/>
    </row>
    <row x14ac:dyDescent="0.25" r="109" customHeight="1" ht="18.75">
      <c r="A109" s="114" t="s">
        <v>1478</v>
      </c>
      <c r="B109" s="115" t="s">
        <v>1479</v>
      </c>
      <c r="C109" s="116" t="s">
        <v>1480</v>
      </c>
      <c r="D109" s="117">
        <v>45496</v>
      </c>
      <c r="E109" s="117">
        <v>45474</v>
      </c>
      <c r="F109" s="118">
        <v>7953.72</v>
      </c>
      <c r="G109" s="118">
        <v>1590.74</v>
      </c>
      <c r="H109" s="118">
        <v>0</v>
      </c>
      <c r="I109" s="118">
        <v>0</v>
      </c>
      <c r="J109" s="119"/>
      <c r="K109" s="119"/>
      <c r="L109" s="119"/>
      <c r="M109" s="119"/>
      <c r="N109" s="119"/>
      <c r="O109" s="119"/>
      <c r="P109" s="118">
        <v>5425.08</v>
      </c>
      <c r="Q109" s="119"/>
      <c r="R109" s="119"/>
      <c r="S109" s="119"/>
      <c r="T109" s="119"/>
      <c r="U109" s="119"/>
      <c r="V109" s="118">
        <f>SUM(J109:U109)</f>
      </c>
      <c r="W109" s="121" t="s">
        <v>1178</v>
      </c>
      <c r="X109" s="122"/>
      <c r="Y109" s="122"/>
    </row>
    <row x14ac:dyDescent="0.25" r="110" customHeight="1" ht="18.75">
      <c r="A110" s="114" t="s">
        <v>1481</v>
      </c>
      <c r="B110" s="115" t="s">
        <v>1482</v>
      </c>
      <c r="C110" s="116" t="s">
        <v>1483</v>
      </c>
      <c r="D110" s="117">
        <v>45518</v>
      </c>
      <c r="E110" s="117">
        <v>45331</v>
      </c>
      <c r="F110" s="118">
        <v>7905.17</v>
      </c>
      <c r="G110" s="118">
        <v>988.15</v>
      </c>
      <c r="H110" s="118">
        <v>0</v>
      </c>
      <c r="I110" s="118">
        <v>0</v>
      </c>
      <c r="J110" s="119"/>
      <c r="K110" s="118"/>
      <c r="L110" s="119"/>
      <c r="M110" s="119"/>
      <c r="N110" s="119"/>
      <c r="O110" s="119"/>
      <c r="P110" s="118">
        <v>53490.94</v>
      </c>
      <c r="Q110" s="119"/>
      <c r="R110" s="119"/>
      <c r="S110" s="119"/>
      <c r="T110" s="119"/>
      <c r="U110" s="119"/>
      <c r="V110" s="118">
        <f>SUM(J110:U110)</f>
      </c>
      <c r="W110" s="121" t="s">
        <v>1178</v>
      </c>
      <c r="X110" s="122"/>
      <c r="Y110" s="122"/>
    </row>
    <row x14ac:dyDescent="0.25" r="111" customHeight="1" ht="18.75">
      <c r="A111" s="114" t="s">
        <v>1484</v>
      </c>
      <c r="B111" s="115" t="s">
        <v>1485</v>
      </c>
      <c r="C111" s="116" t="s">
        <v>1486</v>
      </c>
      <c r="D111" s="117">
        <v>45320</v>
      </c>
      <c r="E111" s="117">
        <v>45261</v>
      </c>
      <c r="F111" s="118">
        <v>21052.63</v>
      </c>
      <c r="G111" s="118">
        <v>4210.53</v>
      </c>
      <c r="H111" s="118">
        <v>0</v>
      </c>
      <c r="I111" s="118">
        <v>0</v>
      </c>
      <c r="J111" s="118"/>
      <c r="K111" s="119"/>
      <c r="L111" s="118">
        <v>11683.54</v>
      </c>
      <c r="M111" s="119"/>
      <c r="N111" s="119"/>
      <c r="O111" s="119"/>
      <c r="P111" s="119"/>
      <c r="Q111" s="119"/>
      <c r="R111" s="119"/>
      <c r="S111" s="119"/>
      <c r="T111" s="119"/>
      <c r="U111" s="119"/>
      <c r="V111" s="118">
        <f>SUM(J111:U111)</f>
      </c>
      <c r="W111" s="121" t="s">
        <v>1178</v>
      </c>
      <c r="X111" s="122"/>
      <c r="Y111" s="122"/>
    </row>
    <row x14ac:dyDescent="0.25" r="112" customHeight="1" ht="18.75">
      <c r="A112" s="114" t="s">
        <v>1487</v>
      </c>
      <c r="B112" s="115" t="s">
        <v>1488</v>
      </c>
      <c r="C112" s="116" t="s">
        <v>1489</v>
      </c>
      <c r="D112" s="117">
        <v>45309</v>
      </c>
      <c r="E112" s="117">
        <v>45292</v>
      </c>
      <c r="F112" s="118">
        <v>19095.32</v>
      </c>
      <c r="G112" s="118">
        <v>3819.06</v>
      </c>
      <c r="H112" s="118">
        <v>0</v>
      </c>
      <c r="I112" s="118">
        <v>0</v>
      </c>
      <c r="J112" s="118">
        <v>12575.94</v>
      </c>
      <c r="K112" s="119"/>
      <c r="L112" s="119"/>
      <c r="M112" s="118">
        <v>12575.94</v>
      </c>
      <c r="N112" s="119"/>
      <c r="O112" s="119"/>
      <c r="P112" s="118">
        <v>13030.7</v>
      </c>
      <c r="Q112" s="119"/>
      <c r="R112" s="119"/>
      <c r="S112" s="118">
        <v>13205</v>
      </c>
      <c r="T112" s="119"/>
      <c r="U112" s="119"/>
      <c r="V112" s="118">
        <f>SUM(J112:U112)</f>
      </c>
      <c r="W112" s="121" t="s">
        <v>1178</v>
      </c>
      <c r="X112" s="122"/>
      <c r="Y112" s="122"/>
    </row>
    <row x14ac:dyDescent="0.25" r="113" customHeight="1" ht="18.75">
      <c r="A113" s="114" t="s">
        <v>1490</v>
      </c>
      <c r="B113" s="115" t="s">
        <v>1491</v>
      </c>
      <c r="C113" s="116" t="s">
        <v>1492</v>
      </c>
      <c r="D113" s="117">
        <v>45320</v>
      </c>
      <c r="E113" s="117">
        <v>45292</v>
      </c>
      <c r="F113" s="118">
        <v>11226.91</v>
      </c>
      <c r="G113" s="118">
        <v>2245.38</v>
      </c>
      <c r="H113" s="118">
        <v>0</v>
      </c>
      <c r="I113" s="118">
        <v>0</v>
      </c>
      <c r="J113" s="118">
        <v>3469.46</v>
      </c>
      <c r="K113" s="118">
        <v>3546.37</v>
      </c>
      <c r="L113" s="118">
        <v>3548.26</v>
      </c>
      <c r="M113" s="118">
        <v>3621.89</v>
      </c>
      <c r="N113" s="118">
        <v>3767.83</v>
      </c>
      <c r="O113" s="118">
        <v>3777.76</v>
      </c>
      <c r="P113" s="118">
        <v>3794.88</v>
      </c>
      <c r="Q113" s="118">
        <v>3794.88</v>
      </c>
      <c r="R113" s="118">
        <v>3794.88</v>
      </c>
      <c r="S113" s="118">
        <v>3794.88</v>
      </c>
      <c r="T113" s="118">
        <v>3794.88</v>
      </c>
      <c r="U113" s="118">
        <v>3794.88</v>
      </c>
      <c r="V113" s="118">
        <f>SUM(J113:U113)</f>
      </c>
      <c r="W113" s="121" t="s">
        <v>1178</v>
      </c>
      <c r="X113" s="122"/>
      <c r="Y113" s="122"/>
    </row>
    <row x14ac:dyDescent="0.25" r="114" customHeight="1" ht="18.75">
      <c r="A114" s="114" t="s">
        <v>1493</v>
      </c>
      <c r="B114" s="115" t="s">
        <v>1494</v>
      </c>
      <c r="C114" s="116" t="s">
        <v>1495</v>
      </c>
      <c r="D114" s="117">
        <v>45392</v>
      </c>
      <c r="E114" s="117">
        <v>45383</v>
      </c>
      <c r="F114" s="118">
        <v>2192.98</v>
      </c>
      <c r="G114" s="118">
        <v>274.12</v>
      </c>
      <c r="H114" s="118">
        <v>0</v>
      </c>
      <c r="I114" s="118">
        <v>0</v>
      </c>
      <c r="J114" s="119"/>
      <c r="K114" s="119"/>
      <c r="L114" s="119"/>
      <c r="M114" s="118">
        <v>10031.71</v>
      </c>
      <c r="N114" s="119"/>
      <c r="O114" s="119"/>
      <c r="P114" s="119"/>
      <c r="Q114" s="119"/>
      <c r="R114" s="119"/>
      <c r="S114" s="119"/>
      <c r="T114" s="119"/>
      <c r="U114" s="119"/>
      <c r="V114" s="118">
        <f>SUM(J114:U114)</f>
      </c>
      <c r="W114" s="121" t="s">
        <v>1178</v>
      </c>
      <c r="X114" s="122"/>
      <c r="Y114" s="122"/>
    </row>
    <row x14ac:dyDescent="0.25" r="115" customHeight="1" ht="18.75">
      <c r="A115" s="114" t="s">
        <v>1496</v>
      </c>
      <c r="B115" s="115" t="s">
        <v>1497</v>
      </c>
      <c r="C115" s="116" t="s">
        <v>1498</v>
      </c>
      <c r="D115" s="117">
        <v>45398</v>
      </c>
      <c r="E115" s="117">
        <v>45383</v>
      </c>
      <c r="F115" s="118">
        <v>15138.46</v>
      </c>
      <c r="G115" s="118">
        <v>3027.69</v>
      </c>
      <c r="H115" s="118">
        <v>0</v>
      </c>
      <c r="I115" s="118">
        <v>0</v>
      </c>
      <c r="J115" s="119"/>
      <c r="K115" s="119"/>
      <c r="L115" s="119"/>
      <c r="M115" s="118">
        <v>3644.15</v>
      </c>
      <c r="N115" s="119"/>
      <c r="O115" s="119"/>
      <c r="P115" s="119"/>
      <c r="Q115" s="119"/>
      <c r="R115" s="119"/>
      <c r="S115" s="119"/>
      <c r="T115" s="119"/>
      <c r="U115" s="119"/>
      <c r="V115" s="118">
        <f>SUM(J115:U115)</f>
      </c>
      <c r="W115" s="121" t="s">
        <v>1178</v>
      </c>
      <c r="X115" s="122"/>
      <c r="Y115" s="122"/>
    </row>
    <row x14ac:dyDescent="0.25" r="116" customHeight="1" ht="18.75">
      <c r="A116" s="114" t="s">
        <v>1499</v>
      </c>
      <c r="B116" s="115" t="s">
        <v>1500</v>
      </c>
      <c r="C116" s="116" t="s">
        <v>1501</v>
      </c>
      <c r="D116" s="117">
        <v>45303</v>
      </c>
      <c r="E116" s="117">
        <v>45292</v>
      </c>
      <c r="F116" s="118">
        <v>17690.79</v>
      </c>
      <c r="G116" s="118">
        <v>3538.16</v>
      </c>
      <c r="H116" s="118">
        <v>0</v>
      </c>
      <c r="I116" s="118">
        <v>0</v>
      </c>
      <c r="J116" s="118">
        <v>5758.09</v>
      </c>
      <c r="K116" s="119"/>
      <c r="L116" s="119"/>
      <c r="M116" s="118">
        <v>5758.09</v>
      </c>
      <c r="N116" s="119"/>
      <c r="O116" s="119"/>
      <c r="P116" s="118">
        <v>5758.09</v>
      </c>
      <c r="Q116" s="119"/>
      <c r="R116" s="119"/>
      <c r="S116" s="118">
        <v>5758.09</v>
      </c>
      <c r="T116" s="119"/>
      <c r="U116" s="119"/>
      <c r="V116" s="118">
        <f>SUM(J116:U116)</f>
      </c>
      <c r="W116" s="121" t="s">
        <v>1178</v>
      </c>
      <c r="X116" s="122"/>
      <c r="Y116" s="122"/>
    </row>
    <row x14ac:dyDescent="0.25" r="117" customHeight="1" ht="18.75">
      <c r="A117" s="114" t="s">
        <v>1502</v>
      </c>
      <c r="B117" s="115" t="s">
        <v>1503</v>
      </c>
      <c r="C117" s="116" t="s">
        <v>1504</v>
      </c>
      <c r="D117" s="117">
        <v>45499</v>
      </c>
      <c r="E117" s="117">
        <v>45474</v>
      </c>
      <c r="F117" s="118">
        <v>32221.43</v>
      </c>
      <c r="G117" s="118">
        <v>6444.29</v>
      </c>
      <c r="H117" s="118">
        <v>0</v>
      </c>
      <c r="I117" s="118">
        <v>0</v>
      </c>
      <c r="J117" s="119"/>
      <c r="K117" s="119"/>
      <c r="L117" s="119"/>
      <c r="M117" s="119"/>
      <c r="N117" s="119"/>
      <c r="O117" s="119"/>
      <c r="P117" s="118">
        <v>6444.29</v>
      </c>
      <c r="Q117" s="118">
        <v>2007.89</v>
      </c>
      <c r="R117" s="119"/>
      <c r="S117" s="119"/>
      <c r="T117" s="119"/>
      <c r="U117" s="119"/>
      <c r="V117" s="118">
        <f>SUM(J117:U117)</f>
      </c>
      <c r="W117" s="121" t="s">
        <v>1178</v>
      </c>
      <c r="X117" s="122"/>
      <c r="Y117" s="122"/>
    </row>
    <row x14ac:dyDescent="0.25" r="118" customHeight="1" ht="18.75">
      <c r="A118" s="114" t="s">
        <v>1505</v>
      </c>
      <c r="B118" s="115" t="s">
        <v>1506</v>
      </c>
      <c r="C118" s="116" t="s">
        <v>1507</v>
      </c>
      <c r="D118" s="117">
        <v>45455</v>
      </c>
      <c r="E118" s="117">
        <v>45415</v>
      </c>
      <c r="F118" s="118">
        <v>210285.99</v>
      </c>
      <c r="G118" s="118">
        <v>42057.2</v>
      </c>
      <c r="H118" s="118">
        <v>0</v>
      </c>
      <c r="I118" s="118">
        <v>0</v>
      </c>
      <c r="J118" s="119"/>
      <c r="K118" s="119"/>
      <c r="L118" s="119"/>
      <c r="M118" s="119"/>
      <c r="N118" s="118">
        <v>41432.87</v>
      </c>
      <c r="O118" s="119"/>
      <c r="P118" s="119"/>
      <c r="Q118" s="119"/>
      <c r="R118" s="119"/>
      <c r="S118" s="119"/>
      <c r="T118" s="119"/>
      <c r="U118" s="119"/>
      <c r="V118" s="118">
        <f>SUM(J118:U118)</f>
      </c>
      <c r="W118" s="121" t="s">
        <v>1178</v>
      </c>
      <c r="X118" s="122"/>
      <c r="Y118" s="122"/>
    </row>
    <row x14ac:dyDescent="0.25" r="119" customHeight="1" ht="18.75">
      <c r="A119" s="114" t="s">
        <v>1508</v>
      </c>
      <c r="B119" s="124" t="s">
        <v>1509</v>
      </c>
      <c r="C119" s="116" t="s">
        <v>1510</v>
      </c>
      <c r="D119" s="117">
        <v>45320</v>
      </c>
      <c r="E119" s="117">
        <v>45292</v>
      </c>
      <c r="F119" s="118">
        <v>30075.26</v>
      </c>
      <c r="G119" s="118">
        <v>4511.29</v>
      </c>
      <c r="H119" s="118">
        <v>0</v>
      </c>
      <c r="I119" s="118">
        <v>0</v>
      </c>
      <c r="J119" s="127">
        <v>4605.26</v>
      </c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8">
        <f>SUM(J119:U119)</f>
      </c>
      <c r="W119" s="121" t="s">
        <v>1178</v>
      </c>
      <c r="X119" s="122"/>
      <c r="Y119" s="122"/>
    </row>
    <row x14ac:dyDescent="0.25" r="120" customHeight="1" ht="18.75">
      <c r="A120" s="114" t="s">
        <v>1511</v>
      </c>
      <c r="B120" s="115" t="s">
        <v>1512</v>
      </c>
      <c r="C120" s="116" t="s">
        <v>1513</v>
      </c>
      <c r="D120" s="117">
        <v>45377</v>
      </c>
      <c r="E120" s="117">
        <v>45352</v>
      </c>
      <c r="F120" s="118">
        <v>604617.38</v>
      </c>
      <c r="G120" s="118">
        <v>75577.17</v>
      </c>
      <c r="H120" s="118">
        <v>0</v>
      </c>
      <c r="I120" s="118">
        <v>0</v>
      </c>
      <c r="J120" s="119"/>
      <c r="K120" s="119"/>
      <c r="L120" s="118">
        <v>138012.62</v>
      </c>
      <c r="M120" s="119"/>
      <c r="N120" s="119"/>
      <c r="O120" s="119"/>
      <c r="P120" s="119"/>
      <c r="Q120" s="119"/>
      <c r="R120" s="119"/>
      <c r="S120" s="119"/>
      <c r="T120" s="119"/>
      <c r="U120" s="119"/>
      <c r="V120" s="118">
        <f>SUM(J120:U120)</f>
      </c>
      <c r="W120" s="121" t="s">
        <v>1178</v>
      </c>
      <c r="X120" s="122"/>
      <c r="Y120" s="122"/>
    </row>
    <row x14ac:dyDescent="0.25" r="121" customHeight="1" ht="18.75">
      <c r="A121" s="114" t="s">
        <v>1514</v>
      </c>
      <c r="B121" s="115" t="s">
        <v>1515</v>
      </c>
      <c r="C121" s="116" t="s">
        <v>1516</v>
      </c>
      <c r="D121" s="117">
        <v>45300</v>
      </c>
      <c r="E121" s="117">
        <v>45282</v>
      </c>
      <c r="F121" s="118">
        <v>1351.59</v>
      </c>
      <c r="G121" s="118">
        <v>168.95</v>
      </c>
      <c r="H121" s="118">
        <v>0</v>
      </c>
      <c r="I121" s="118">
        <v>0</v>
      </c>
      <c r="J121" s="118"/>
      <c r="K121" s="119"/>
      <c r="L121" s="118">
        <v>586444.11</v>
      </c>
      <c r="M121" s="119"/>
      <c r="N121" s="119"/>
      <c r="O121" s="119"/>
      <c r="P121" s="119"/>
      <c r="Q121" s="119"/>
      <c r="R121" s="119"/>
      <c r="S121" s="119"/>
      <c r="T121" s="119"/>
      <c r="U121" s="119"/>
      <c r="V121" s="118">
        <f>SUM(J121:U121)</f>
      </c>
      <c r="W121" s="121" t="s">
        <v>1178</v>
      </c>
      <c r="X121" s="122"/>
      <c r="Y121" s="122"/>
    </row>
    <row x14ac:dyDescent="0.25" r="122" customHeight="1" ht="18.75">
      <c r="A122" s="114" t="s">
        <v>1517</v>
      </c>
      <c r="B122" s="131" t="s">
        <v>1518</v>
      </c>
      <c r="C122" s="116"/>
      <c r="D122" s="117"/>
      <c r="E122" s="117"/>
      <c r="F122" s="118"/>
      <c r="G122" s="118"/>
      <c r="H122" s="118"/>
      <c r="I122" s="118"/>
      <c r="J122" s="119"/>
      <c r="K122" s="119"/>
      <c r="L122" s="119"/>
      <c r="M122" s="119"/>
      <c r="N122" s="119"/>
      <c r="O122" s="119"/>
      <c r="P122" s="119"/>
      <c r="Q122" s="118"/>
      <c r="R122" s="119"/>
      <c r="S122" s="118"/>
      <c r="T122" s="127">
        <v>94000</v>
      </c>
      <c r="U122" s="118"/>
      <c r="V122" s="127">
        <f>SUM(J122:U122)</f>
      </c>
      <c r="W122" s="121" t="s">
        <v>1178</v>
      </c>
      <c r="X122" s="122"/>
      <c r="Y122" s="122"/>
    </row>
    <row x14ac:dyDescent="0.25" r="123" customHeight="1" ht="18.75">
      <c r="A123" s="124" t="s">
        <v>1519</v>
      </c>
      <c r="B123" s="124" t="s">
        <v>1520</v>
      </c>
      <c r="C123" s="125" t="s">
        <v>1521</v>
      </c>
      <c r="D123" s="126">
        <v>45460</v>
      </c>
      <c r="E123" s="126">
        <v>45444</v>
      </c>
      <c r="F123" s="127">
        <v>393568.74</v>
      </c>
      <c r="G123" s="127">
        <v>49196.09</v>
      </c>
      <c r="H123" s="127">
        <v>0</v>
      </c>
      <c r="I123" s="127">
        <v>0</v>
      </c>
      <c r="J123" s="128"/>
      <c r="K123" s="128"/>
      <c r="L123" s="128"/>
      <c r="M123" s="128"/>
      <c r="N123" s="128"/>
      <c r="O123" s="127">
        <v>98663.96</v>
      </c>
      <c r="P123" s="128"/>
      <c r="Q123" s="128"/>
      <c r="R123" s="128"/>
      <c r="S123" s="128"/>
      <c r="T123" s="128"/>
      <c r="U123" s="128"/>
      <c r="V123" s="127">
        <f>SUM(J123:U123)</f>
      </c>
      <c r="W123" s="129" t="s">
        <v>1178</v>
      </c>
      <c r="X123" s="130"/>
      <c r="Y123" s="130"/>
    </row>
    <row x14ac:dyDescent="0.25" r="124" customHeight="1" ht="18.75">
      <c r="A124" s="114" t="s">
        <v>1522</v>
      </c>
      <c r="B124" s="115" t="s">
        <v>1523</v>
      </c>
      <c r="C124" s="116" t="s">
        <v>1524</v>
      </c>
      <c r="D124" s="117">
        <v>45496</v>
      </c>
      <c r="E124" s="117">
        <v>45474</v>
      </c>
      <c r="F124" s="118">
        <v>1818.15</v>
      </c>
      <c r="G124" s="118">
        <v>363.63</v>
      </c>
      <c r="H124" s="118">
        <v>0</v>
      </c>
      <c r="I124" s="118">
        <v>0</v>
      </c>
      <c r="J124" s="119"/>
      <c r="K124" s="119"/>
      <c r="L124" s="119"/>
      <c r="M124" s="119"/>
      <c r="N124" s="119"/>
      <c r="O124" s="119"/>
      <c r="P124" s="118">
        <v>363.63</v>
      </c>
      <c r="Q124" s="119"/>
      <c r="R124" s="119"/>
      <c r="S124" s="119"/>
      <c r="T124" s="119"/>
      <c r="U124" s="119"/>
      <c r="V124" s="118">
        <f>SUM(J124:U124)</f>
      </c>
      <c r="W124" s="121" t="s">
        <v>1178</v>
      </c>
      <c r="X124" s="122"/>
      <c r="Y124" s="122"/>
    </row>
    <row x14ac:dyDescent="0.25" r="125" customHeight="1" ht="18.75">
      <c r="A125" s="114" t="s">
        <v>1525</v>
      </c>
      <c r="B125" s="115" t="s">
        <v>1526</v>
      </c>
      <c r="C125" s="116" t="s">
        <v>1527</v>
      </c>
      <c r="D125" s="117">
        <v>45463</v>
      </c>
      <c r="E125" s="117">
        <v>45474</v>
      </c>
      <c r="F125" s="118">
        <v>86364.24</v>
      </c>
      <c r="G125" s="118">
        <v>17272.85</v>
      </c>
      <c r="H125" s="118">
        <v>0</v>
      </c>
      <c r="I125" s="118">
        <v>0</v>
      </c>
      <c r="J125" s="119"/>
      <c r="K125" s="119"/>
      <c r="L125" s="119"/>
      <c r="M125" s="119"/>
      <c r="N125" s="119"/>
      <c r="O125" s="119"/>
      <c r="P125" s="118">
        <v>18339.27</v>
      </c>
      <c r="Q125" s="119"/>
      <c r="R125" s="119"/>
      <c r="S125" s="119"/>
      <c r="T125" s="119"/>
      <c r="U125" s="119"/>
      <c r="V125" s="118">
        <f>SUM(J125:U125)</f>
      </c>
      <c r="W125" s="121" t="s">
        <v>1178</v>
      </c>
      <c r="X125" s="122"/>
      <c r="Y125" s="122"/>
    </row>
    <row x14ac:dyDescent="0.25" r="126" customHeight="1" ht="18.75">
      <c r="A126" s="114" t="s">
        <v>1528</v>
      </c>
      <c r="B126" s="115" t="s">
        <v>1529</v>
      </c>
      <c r="C126" s="116" t="s">
        <v>1530</v>
      </c>
      <c r="D126" s="117">
        <v>45352</v>
      </c>
      <c r="E126" s="117">
        <v>45352</v>
      </c>
      <c r="F126" s="118">
        <v>28237.38</v>
      </c>
      <c r="G126" s="118">
        <v>3529.67</v>
      </c>
      <c r="H126" s="118">
        <v>0</v>
      </c>
      <c r="I126" s="118">
        <v>0</v>
      </c>
      <c r="J126" s="119"/>
      <c r="K126" s="119"/>
      <c r="L126" s="118">
        <v>15703.1</v>
      </c>
      <c r="M126" s="119"/>
      <c r="N126" s="119"/>
      <c r="O126" s="119"/>
      <c r="P126" s="119"/>
      <c r="Q126" s="119"/>
      <c r="R126" s="119"/>
      <c r="S126" s="119"/>
      <c r="T126" s="119"/>
      <c r="U126" s="119"/>
      <c r="V126" s="118">
        <f>SUM(J126:U126)</f>
      </c>
      <c r="W126" s="121" t="s">
        <v>1178</v>
      </c>
      <c r="X126" s="122"/>
      <c r="Y126" s="122"/>
    </row>
    <row x14ac:dyDescent="0.25" r="127" customHeight="1" ht="18.75">
      <c r="A127" s="124" t="s">
        <v>1531</v>
      </c>
      <c r="B127" s="124" t="s">
        <v>1532</v>
      </c>
      <c r="C127" s="125" t="s">
        <v>1533</v>
      </c>
      <c r="D127" s="126">
        <v>45446</v>
      </c>
      <c r="E127" s="126">
        <v>45444</v>
      </c>
      <c r="F127" s="127">
        <v>16293.86</v>
      </c>
      <c r="G127" s="127">
        <v>3258.77</v>
      </c>
      <c r="H127" s="127">
        <v>0</v>
      </c>
      <c r="I127" s="127">
        <v>0</v>
      </c>
      <c r="J127" s="128"/>
      <c r="K127" s="128"/>
      <c r="L127" s="128"/>
      <c r="M127" s="128"/>
      <c r="N127" s="128"/>
      <c r="O127" s="127">
        <v>0</v>
      </c>
      <c r="P127" s="128"/>
      <c r="Q127" s="128"/>
      <c r="R127" s="128"/>
      <c r="S127" s="128"/>
      <c r="T127" s="128"/>
      <c r="U127" s="128"/>
      <c r="V127" s="127">
        <f>SUM(J127:U127)</f>
      </c>
      <c r="W127" s="121" t="s">
        <v>1178</v>
      </c>
      <c r="X127" s="122"/>
      <c r="Y127" s="122"/>
    </row>
    <row x14ac:dyDescent="0.25" r="128" customHeight="1" ht="18.75">
      <c r="A128" s="124" t="s">
        <v>1534</v>
      </c>
      <c r="B128" s="124" t="s">
        <v>1535</v>
      </c>
      <c r="C128" s="125" t="s">
        <v>1536</v>
      </c>
      <c r="D128" s="126">
        <v>45345</v>
      </c>
      <c r="E128" s="126">
        <v>45344</v>
      </c>
      <c r="F128" s="127">
        <v>1446.28</v>
      </c>
      <c r="G128" s="127">
        <v>289.26</v>
      </c>
      <c r="H128" s="127">
        <v>0</v>
      </c>
      <c r="I128" s="127">
        <v>0</v>
      </c>
      <c r="J128" s="128"/>
      <c r="K128" s="127"/>
      <c r="L128" s="128"/>
      <c r="M128" s="127">
        <v>28128.73</v>
      </c>
      <c r="N128" s="128"/>
      <c r="O128" s="128"/>
      <c r="P128" s="128"/>
      <c r="Q128" s="128"/>
      <c r="R128" s="128"/>
      <c r="S128" s="128"/>
      <c r="T128" s="128"/>
      <c r="U128" s="128"/>
      <c r="V128" s="127">
        <f>SUM(J128:U128)</f>
      </c>
      <c r="W128" s="121" t="s">
        <v>1178</v>
      </c>
      <c r="X128" s="122"/>
      <c r="Y128" s="122"/>
    </row>
    <row x14ac:dyDescent="0.25" r="129" customHeight="1" ht="18.75">
      <c r="A129" s="114" t="s">
        <v>1537</v>
      </c>
      <c r="B129" s="115" t="s">
        <v>1538</v>
      </c>
      <c r="C129" s="116" t="s">
        <v>1539</v>
      </c>
      <c r="D129" s="117">
        <v>45309</v>
      </c>
      <c r="E129" s="117">
        <v>45292</v>
      </c>
      <c r="F129" s="118">
        <v>36654.25</v>
      </c>
      <c r="G129" s="118">
        <v>7330.85</v>
      </c>
      <c r="H129" s="118">
        <v>0</v>
      </c>
      <c r="I129" s="118">
        <v>0</v>
      </c>
      <c r="J129" s="118">
        <v>19859</v>
      </c>
      <c r="K129" s="119"/>
      <c r="L129" s="119"/>
      <c r="M129" s="118">
        <v>19859</v>
      </c>
      <c r="N129" s="119"/>
      <c r="O129" s="119"/>
      <c r="P129" s="118">
        <v>19859</v>
      </c>
      <c r="Q129" s="119"/>
      <c r="R129" s="119"/>
      <c r="S129" s="118">
        <v>19859</v>
      </c>
      <c r="T129" s="119"/>
      <c r="U129" s="119"/>
      <c r="V129" s="118">
        <f>SUM(J129:U129)</f>
      </c>
      <c r="W129" s="121" t="s">
        <v>1178</v>
      </c>
      <c r="X129" s="122"/>
      <c r="Y129" s="122"/>
    </row>
    <row x14ac:dyDescent="0.25" r="130" customHeight="1" ht="18.75">
      <c r="A130" s="114" t="s">
        <v>1540</v>
      </c>
      <c r="B130" s="115" t="s">
        <v>1541</v>
      </c>
      <c r="C130" s="116"/>
      <c r="D130" s="117"/>
      <c r="E130" s="117"/>
      <c r="F130" s="118"/>
      <c r="G130" s="118"/>
      <c r="H130" s="118"/>
      <c r="I130" s="118"/>
      <c r="J130" s="118"/>
      <c r="K130" s="119"/>
      <c r="L130" s="119"/>
      <c r="M130" s="118"/>
      <c r="N130" s="119"/>
      <c r="O130" s="119"/>
      <c r="P130" s="118"/>
      <c r="Q130" s="119"/>
      <c r="R130" s="118">
        <v>24245.61</v>
      </c>
      <c r="S130" s="118"/>
      <c r="T130" s="119"/>
      <c r="U130" s="119"/>
      <c r="V130" s="118">
        <f>SUM(J130:U130)</f>
      </c>
      <c r="W130" s="121" t="s">
        <v>1178</v>
      </c>
      <c r="X130" s="122"/>
      <c r="Y130" s="122"/>
    </row>
    <row x14ac:dyDescent="0.25" r="131" customHeight="1" ht="18.75">
      <c r="A131" s="131" t="s">
        <v>1542</v>
      </c>
      <c r="B131" s="131" t="s">
        <v>1543</v>
      </c>
      <c r="C131" s="136" t="s">
        <v>1544</v>
      </c>
      <c r="D131" s="137">
        <v>45392</v>
      </c>
      <c r="E131" s="137">
        <v>45383</v>
      </c>
      <c r="F131" s="138">
        <v>10131.58</v>
      </c>
      <c r="G131" s="138">
        <v>2026.32</v>
      </c>
      <c r="H131" s="138">
        <v>0</v>
      </c>
      <c r="I131" s="138">
        <v>0</v>
      </c>
      <c r="J131" s="138">
        <v>7500</v>
      </c>
      <c r="K131" s="138"/>
      <c r="L131" s="138"/>
      <c r="M131" s="138">
        <v>7500</v>
      </c>
      <c r="N131" s="138"/>
      <c r="O131" s="138"/>
      <c r="P131" s="138">
        <v>7500</v>
      </c>
      <c r="Q131" s="138"/>
      <c r="R131" s="138"/>
      <c r="S131" s="138">
        <v>7500</v>
      </c>
      <c r="T131" s="138"/>
      <c r="U131" s="138"/>
      <c r="V131" s="138">
        <f>SUM(J131:U131)</f>
      </c>
      <c r="W131" s="121" t="s">
        <v>1178</v>
      </c>
      <c r="X131" s="140"/>
      <c r="Y131" s="140"/>
    </row>
    <row x14ac:dyDescent="0.25" r="132" customHeight="1" ht="18.75">
      <c r="A132" s="114" t="s">
        <v>1545</v>
      </c>
      <c r="B132" s="115" t="s">
        <v>1546</v>
      </c>
      <c r="C132" s="116" t="s">
        <v>1547</v>
      </c>
      <c r="D132" s="117">
        <v>45344</v>
      </c>
      <c r="E132" s="117">
        <v>45323</v>
      </c>
      <c r="F132" s="118">
        <v>77460.53</v>
      </c>
      <c r="G132" s="118">
        <v>15492.11</v>
      </c>
      <c r="H132" s="118">
        <v>0</v>
      </c>
      <c r="I132" s="118">
        <v>0</v>
      </c>
      <c r="J132" s="119"/>
      <c r="K132" s="118">
        <v>331650.7</v>
      </c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8">
        <f>SUM(J132:U132)</f>
      </c>
      <c r="W132" s="121" t="s">
        <v>1178</v>
      </c>
      <c r="X132" s="122"/>
      <c r="Y132" s="122"/>
    </row>
    <row x14ac:dyDescent="0.25" r="133" customHeight="1" ht="18.75">
      <c r="A133" s="114" t="s">
        <v>1548</v>
      </c>
      <c r="B133" s="115" t="s">
        <v>1549</v>
      </c>
      <c r="C133" s="116" t="s">
        <v>1550</v>
      </c>
      <c r="D133" s="117">
        <v>45314</v>
      </c>
      <c r="E133" s="117">
        <v>45292</v>
      </c>
      <c r="F133" s="118">
        <v>14035.09</v>
      </c>
      <c r="G133" s="118">
        <v>2807.02</v>
      </c>
      <c r="H133" s="118">
        <v>0</v>
      </c>
      <c r="I133" s="118">
        <v>0</v>
      </c>
      <c r="J133" s="118">
        <v>2807.02</v>
      </c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8">
        <f>SUM(J133:U133)</f>
      </c>
      <c r="W133" s="121" t="s">
        <v>1178</v>
      </c>
      <c r="X133" s="122"/>
      <c r="Y133" s="122"/>
    </row>
    <row x14ac:dyDescent="0.25" r="134" customHeight="1" ht="18.75">
      <c r="A134" s="114" t="s">
        <v>1551</v>
      </c>
      <c r="B134" s="115" t="s">
        <v>1552</v>
      </c>
      <c r="C134" s="116" t="s">
        <v>1553</v>
      </c>
      <c r="D134" s="117">
        <v>45362</v>
      </c>
      <c r="E134" s="117">
        <v>45352</v>
      </c>
      <c r="F134" s="118">
        <v>2625</v>
      </c>
      <c r="G134" s="118">
        <v>525</v>
      </c>
      <c r="H134" s="118">
        <v>0</v>
      </c>
      <c r="I134" s="118">
        <v>0</v>
      </c>
      <c r="J134" s="119"/>
      <c r="K134" s="119"/>
      <c r="L134" s="118">
        <v>525</v>
      </c>
      <c r="M134" s="119"/>
      <c r="N134" s="119"/>
      <c r="O134" s="119"/>
      <c r="P134" s="119"/>
      <c r="Q134" s="119"/>
      <c r="R134" s="119"/>
      <c r="S134" s="119"/>
      <c r="T134" s="119"/>
      <c r="U134" s="119"/>
      <c r="V134" s="118">
        <f>SUM(J134:U134)</f>
      </c>
      <c r="W134" s="121" t="s">
        <v>1178</v>
      </c>
      <c r="X134" s="122"/>
      <c r="Y134" s="122"/>
    </row>
    <row x14ac:dyDescent="0.25" r="135" customHeight="1" ht="18.75">
      <c r="A135" s="114" t="s">
        <v>1554</v>
      </c>
      <c r="B135" s="115" t="s">
        <v>1555</v>
      </c>
      <c r="C135" s="116" t="s">
        <v>1556</v>
      </c>
      <c r="D135" s="117">
        <v>45313</v>
      </c>
      <c r="E135" s="117">
        <v>45292</v>
      </c>
      <c r="F135" s="118">
        <v>16032.49</v>
      </c>
      <c r="G135" s="118">
        <v>2004.06</v>
      </c>
      <c r="H135" s="118">
        <v>0</v>
      </c>
      <c r="I135" s="118">
        <v>0</v>
      </c>
      <c r="J135" s="118">
        <v>3361.66</v>
      </c>
      <c r="K135" s="118">
        <v>3361.66</v>
      </c>
      <c r="L135" s="118">
        <v>12244.41</v>
      </c>
      <c r="M135" s="118">
        <v>3361.66</v>
      </c>
      <c r="N135" s="118">
        <v>3361.66</v>
      </c>
      <c r="O135" s="118">
        <v>3361.66</v>
      </c>
      <c r="P135" s="118">
        <v>3361.66</v>
      </c>
      <c r="Q135" s="118">
        <v>3361.66</v>
      </c>
      <c r="R135" s="118">
        <v>3361.66</v>
      </c>
      <c r="S135" s="118">
        <v>3361.66</v>
      </c>
      <c r="T135" s="118">
        <v>3361.66</v>
      </c>
      <c r="U135" s="118">
        <v>3361.66</v>
      </c>
      <c r="V135" s="118">
        <f>SUM(J135:U135)</f>
      </c>
      <c r="W135" s="121" t="s">
        <v>1178</v>
      </c>
      <c r="X135" s="122"/>
      <c r="Y135" s="122"/>
    </row>
    <row x14ac:dyDescent="0.25" r="136" customHeight="1" ht="18.75">
      <c r="A136" s="114" t="s">
        <v>1557</v>
      </c>
      <c r="B136" s="143" t="s">
        <v>1558</v>
      </c>
      <c r="C136" s="116" t="s">
        <v>1559</v>
      </c>
      <c r="D136" s="117">
        <v>45327</v>
      </c>
      <c r="E136" s="117">
        <v>45327</v>
      </c>
      <c r="F136" s="118">
        <v>137500</v>
      </c>
      <c r="G136" s="118">
        <v>27500</v>
      </c>
      <c r="H136" s="118">
        <v>0</v>
      </c>
      <c r="I136" s="118">
        <v>0</v>
      </c>
      <c r="J136" s="119"/>
      <c r="K136" s="118"/>
      <c r="L136" s="119"/>
      <c r="M136" s="119"/>
      <c r="N136" s="119"/>
      <c r="O136" s="119"/>
      <c r="P136" s="119"/>
      <c r="Q136" s="119"/>
      <c r="R136" s="119"/>
      <c r="S136" s="118">
        <v>2249</v>
      </c>
      <c r="T136" s="119"/>
      <c r="U136" s="119"/>
      <c r="V136" s="118">
        <f>SUM(J136:U136)</f>
      </c>
      <c r="W136" s="121" t="s">
        <v>1178</v>
      </c>
      <c r="X136" s="122"/>
      <c r="Y136" s="122"/>
    </row>
    <row x14ac:dyDescent="0.25" r="137" customHeight="1" ht="18.75">
      <c r="A137" s="114" t="s">
        <v>1560</v>
      </c>
      <c r="B137" s="115" t="s">
        <v>1561</v>
      </c>
      <c r="C137" s="116" t="s">
        <v>1562</v>
      </c>
      <c r="D137" s="117">
        <v>45441</v>
      </c>
      <c r="E137" s="117">
        <v>45404</v>
      </c>
      <c r="F137" s="118">
        <v>4112.81</v>
      </c>
      <c r="G137" s="118">
        <v>822.56</v>
      </c>
      <c r="H137" s="118">
        <v>0</v>
      </c>
      <c r="I137" s="118">
        <v>0</v>
      </c>
      <c r="J137" s="119"/>
      <c r="K137" s="119"/>
      <c r="L137" s="119"/>
      <c r="M137" s="118"/>
      <c r="N137" s="119"/>
      <c r="O137" s="119"/>
      <c r="P137" s="119"/>
      <c r="Q137" s="119"/>
      <c r="R137" s="119"/>
      <c r="S137" s="118">
        <v>46318</v>
      </c>
      <c r="T137" s="119"/>
      <c r="U137" s="119"/>
      <c r="V137" s="118">
        <f>SUM(J137:U137)</f>
      </c>
      <c r="W137" s="121" t="s">
        <v>1178</v>
      </c>
      <c r="X137" s="122"/>
      <c r="Y137" s="122"/>
    </row>
    <row x14ac:dyDescent="0.25" r="138" customHeight="1" ht="18.75">
      <c r="A138" s="114" t="s">
        <v>1563</v>
      </c>
      <c r="B138" s="115" t="s">
        <v>1564</v>
      </c>
      <c r="C138" s="116" t="s">
        <v>1565</v>
      </c>
      <c r="D138" s="117">
        <v>45352</v>
      </c>
      <c r="E138" s="117">
        <v>45323</v>
      </c>
      <c r="F138" s="118">
        <v>31354.39</v>
      </c>
      <c r="G138" s="118">
        <v>3919.3</v>
      </c>
      <c r="H138" s="118">
        <v>0</v>
      </c>
      <c r="I138" s="118">
        <v>0</v>
      </c>
      <c r="J138" s="119"/>
      <c r="K138" s="118">
        <v>58115.69</v>
      </c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8">
        <f>SUM(J138:U138)</f>
      </c>
      <c r="W138" s="121" t="s">
        <v>1178</v>
      </c>
      <c r="X138" s="122"/>
      <c r="Y138" s="122"/>
    </row>
    <row x14ac:dyDescent="0.25" r="139" customHeight="1" ht="18.75">
      <c r="A139" s="114" t="s">
        <v>1566</v>
      </c>
      <c r="B139" s="143" t="s">
        <v>1567</v>
      </c>
      <c r="C139" s="116" t="s">
        <v>1568</v>
      </c>
      <c r="D139" s="117">
        <v>45344</v>
      </c>
      <c r="E139" s="117">
        <v>45331</v>
      </c>
      <c r="F139" s="118">
        <v>21846.78</v>
      </c>
      <c r="G139" s="118">
        <v>4369.36</v>
      </c>
      <c r="H139" s="118">
        <v>0</v>
      </c>
      <c r="I139" s="118">
        <v>0</v>
      </c>
      <c r="J139" s="119"/>
      <c r="K139" s="118">
        <v>5848.53</v>
      </c>
      <c r="L139" s="119"/>
      <c r="M139" s="119"/>
      <c r="N139" s="118">
        <v>5848.53</v>
      </c>
      <c r="O139" s="119"/>
      <c r="P139" s="119"/>
      <c r="Q139" s="118">
        <v>5848.53</v>
      </c>
      <c r="R139" s="119"/>
      <c r="S139" s="119"/>
      <c r="T139" s="118">
        <v>5848.53</v>
      </c>
      <c r="U139" s="119"/>
      <c r="V139" s="118">
        <f>SUM(J139:U139)</f>
      </c>
      <c r="W139" s="121" t="s">
        <v>1178</v>
      </c>
      <c r="X139" s="122"/>
      <c r="Y139" s="122"/>
    </row>
    <row x14ac:dyDescent="0.25" r="140" customHeight="1" ht="18.75">
      <c r="A140" s="114" t="s">
        <v>1569</v>
      </c>
      <c r="B140" s="131" t="s">
        <v>1570</v>
      </c>
      <c r="C140" s="115"/>
      <c r="D140" s="117"/>
      <c r="E140" s="132"/>
      <c r="F140" s="133"/>
      <c r="G140" s="133"/>
      <c r="H140" s="119"/>
      <c r="I140" s="134"/>
      <c r="J140" s="133"/>
      <c r="K140" s="119"/>
      <c r="L140" s="119"/>
      <c r="M140" s="119"/>
      <c r="N140" s="119"/>
      <c r="O140" s="119"/>
      <c r="P140" s="119"/>
      <c r="Q140" s="119"/>
      <c r="R140" s="119"/>
      <c r="S140" s="118">
        <v>6602</v>
      </c>
      <c r="T140" s="118">
        <v>0</v>
      </c>
      <c r="U140" s="118"/>
      <c r="V140" s="118">
        <f>SUM(J140:U140)</f>
      </c>
      <c r="W140" s="121" t="s">
        <v>1571</v>
      </c>
      <c r="X140" s="122"/>
      <c r="Y140" s="122"/>
    </row>
    <row x14ac:dyDescent="0.25" r="141" customHeight="1" ht="18.75">
      <c r="A141" s="114" t="s">
        <v>1572</v>
      </c>
      <c r="B141" s="131" t="s">
        <v>1573</v>
      </c>
      <c r="C141" s="116"/>
      <c r="D141" s="117"/>
      <c r="E141" s="117"/>
      <c r="F141" s="118"/>
      <c r="G141" s="118"/>
      <c r="H141" s="118"/>
      <c r="I141" s="118"/>
      <c r="J141" s="119"/>
      <c r="K141" s="118"/>
      <c r="L141" s="119"/>
      <c r="M141" s="119"/>
      <c r="N141" s="118"/>
      <c r="O141" s="118">
        <v>241600</v>
      </c>
      <c r="P141" s="119"/>
      <c r="Q141" s="118"/>
      <c r="R141" s="119"/>
      <c r="S141" s="119"/>
      <c r="T141" s="118"/>
      <c r="U141" s="119"/>
      <c r="V141" s="118">
        <f>SUM(J141:U141)</f>
      </c>
      <c r="W141" s="121" t="s">
        <v>1571</v>
      </c>
      <c r="X141" s="122"/>
      <c r="Y141" s="122"/>
    </row>
    <row x14ac:dyDescent="0.25" r="142" customHeight="1" ht="18.75">
      <c r="A142" s="114" t="s">
        <v>1572</v>
      </c>
      <c r="B142" s="131" t="s">
        <v>1574</v>
      </c>
      <c r="C142" s="116"/>
      <c r="D142" s="117"/>
      <c r="E142" s="117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>
        <v>191600</v>
      </c>
      <c r="S142" s="118"/>
      <c r="T142" s="118"/>
      <c r="U142" s="118"/>
      <c r="V142" s="118">
        <f>SUM(J142:U142)</f>
      </c>
      <c r="W142" s="121" t="s">
        <v>1571</v>
      </c>
      <c r="X142" s="122"/>
      <c r="Y142" s="122"/>
    </row>
    <row x14ac:dyDescent="0.25" r="143" customHeight="1" ht="18.75">
      <c r="A143" s="114" t="s">
        <v>1572</v>
      </c>
      <c r="B143" s="131" t="s">
        <v>1575</v>
      </c>
      <c r="C143" s="116"/>
      <c r="D143" s="117"/>
      <c r="E143" s="117"/>
      <c r="F143" s="118"/>
      <c r="G143" s="118"/>
      <c r="H143" s="118"/>
      <c r="I143" s="118"/>
      <c r="J143" s="118"/>
      <c r="K143" s="118"/>
      <c r="L143" s="118"/>
      <c r="M143" s="118"/>
      <c r="N143" s="118">
        <v>288000</v>
      </c>
      <c r="O143" s="118"/>
      <c r="P143" s="118"/>
      <c r="Q143" s="118"/>
      <c r="R143" s="118"/>
      <c r="S143" s="118"/>
      <c r="T143" s="118"/>
      <c r="U143" s="118"/>
      <c r="V143" s="118">
        <f>SUM(J143:U143)</f>
      </c>
      <c r="W143" s="121" t="s">
        <v>1571</v>
      </c>
      <c r="X143" s="122"/>
      <c r="Y143" s="122"/>
    </row>
    <row x14ac:dyDescent="0.25" r="144" customHeight="1" ht="18.75">
      <c r="A144" s="114" t="s">
        <v>1572</v>
      </c>
      <c r="B144" s="131" t="s">
        <v>1576</v>
      </c>
      <c r="C144" s="116"/>
      <c r="D144" s="117"/>
      <c r="E144" s="117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>
        <v>191600</v>
      </c>
      <c r="T144" s="118"/>
      <c r="U144" s="118"/>
      <c r="V144" s="118">
        <f>SUM(J144:U144)</f>
      </c>
      <c r="W144" s="121" t="s">
        <v>1571</v>
      </c>
      <c r="X144" s="122"/>
      <c r="Y144" s="122"/>
    </row>
    <row x14ac:dyDescent="0.25" r="145" customHeight="1" ht="18.75">
      <c r="A145" s="114" t="s">
        <v>1572</v>
      </c>
      <c r="B145" s="131" t="s">
        <v>1577</v>
      </c>
      <c r="C145" s="116"/>
      <c r="D145" s="117"/>
      <c r="E145" s="117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>
        <v>141600</v>
      </c>
      <c r="V145" s="118">
        <f>SUM(J145:U145)</f>
      </c>
      <c r="W145" s="121" t="s">
        <v>1571</v>
      </c>
      <c r="X145" s="122"/>
      <c r="Y145" s="122"/>
    </row>
    <row x14ac:dyDescent="0.25" r="146" customHeight="1" ht="18.75">
      <c r="A146" s="114" t="s">
        <v>1572</v>
      </c>
      <c r="B146" s="131" t="s">
        <v>1578</v>
      </c>
      <c r="C146" s="115"/>
      <c r="D146" s="117"/>
      <c r="E146" s="132"/>
      <c r="F146" s="133"/>
      <c r="G146" s="133"/>
      <c r="H146" s="119"/>
      <c r="I146" s="134"/>
      <c r="J146" s="133"/>
      <c r="K146" s="118"/>
      <c r="L146" s="118"/>
      <c r="M146" s="118"/>
      <c r="N146" s="118"/>
      <c r="O146" s="118">
        <v>0</v>
      </c>
      <c r="P146" s="118"/>
      <c r="Q146" s="118"/>
      <c r="R146" s="118">
        <v>361567.4</v>
      </c>
      <c r="S146" s="118"/>
      <c r="T146" s="118"/>
      <c r="U146" s="118"/>
      <c r="V146" s="118">
        <f>SUM(J146:U146)</f>
      </c>
      <c r="W146" s="121" t="s">
        <v>1571</v>
      </c>
      <c r="X146" s="122"/>
      <c r="Y146" s="122"/>
    </row>
    <row x14ac:dyDescent="0.25" r="147" customHeight="1" ht="18.75">
      <c r="A147" s="114" t="s">
        <v>1572</v>
      </c>
      <c r="B147" s="131" t="s">
        <v>1579</v>
      </c>
      <c r="C147" s="115"/>
      <c r="D147" s="117"/>
      <c r="E147" s="132"/>
      <c r="F147" s="133"/>
      <c r="G147" s="133"/>
      <c r="H147" s="119"/>
      <c r="I147" s="134"/>
      <c r="J147" s="133"/>
      <c r="K147" s="144">
        <v>147200</v>
      </c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>
        <f>SUM(J147:U147)</f>
      </c>
      <c r="W147" s="121" t="s">
        <v>1571</v>
      </c>
      <c r="X147" s="122"/>
      <c r="Y147" s="122"/>
    </row>
    <row x14ac:dyDescent="0.25" r="148" customHeight="1" ht="18.75">
      <c r="A148" s="114" t="s">
        <v>1572</v>
      </c>
      <c r="B148" s="115" t="s">
        <v>1580</v>
      </c>
      <c r="C148" s="115"/>
      <c r="D148" s="117"/>
      <c r="E148" s="132"/>
      <c r="F148" s="133"/>
      <c r="G148" s="133"/>
      <c r="H148" s="119"/>
      <c r="I148" s="134"/>
      <c r="J148" s="133"/>
      <c r="K148" s="118"/>
      <c r="L148" s="118"/>
      <c r="M148" s="118"/>
      <c r="N148" s="118">
        <v>52200</v>
      </c>
      <c r="O148" s="118"/>
      <c r="P148" s="118"/>
      <c r="Q148" s="118"/>
      <c r="R148" s="118"/>
      <c r="S148" s="118"/>
      <c r="T148" s="118"/>
      <c r="U148" s="118"/>
      <c r="V148" s="118">
        <f>SUM(J148:U148)</f>
      </c>
      <c r="W148" s="121" t="s">
        <v>1571</v>
      </c>
      <c r="X148" s="122"/>
      <c r="Y148" s="122"/>
    </row>
    <row x14ac:dyDescent="0.25" r="149" customHeight="1" ht="18.75">
      <c r="A149" s="114" t="s">
        <v>1572</v>
      </c>
      <c r="B149" s="115" t="s">
        <v>1581</v>
      </c>
      <c r="C149" s="115"/>
      <c r="D149" s="117"/>
      <c r="E149" s="132"/>
      <c r="F149" s="133"/>
      <c r="G149" s="133"/>
      <c r="H149" s="119"/>
      <c r="I149" s="134"/>
      <c r="J149" s="133"/>
      <c r="K149" s="118"/>
      <c r="L149" s="118"/>
      <c r="M149" s="118"/>
      <c r="N149" s="118">
        <v>52200</v>
      </c>
      <c r="O149" s="118"/>
      <c r="P149" s="118"/>
      <c r="Q149" s="118"/>
      <c r="R149" s="118"/>
      <c r="S149" s="118"/>
      <c r="T149" s="118"/>
      <c r="U149" s="118"/>
      <c r="V149" s="118">
        <f>SUM(J149:U149)</f>
      </c>
      <c r="W149" s="121" t="s">
        <v>1571</v>
      </c>
      <c r="X149" s="122"/>
      <c r="Y149" s="122"/>
    </row>
    <row x14ac:dyDescent="0.25" r="150" customHeight="1" ht="18.75">
      <c r="A150" s="114" t="s">
        <v>1572</v>
      </c>
      <c r="B150" s="131" t="s">
        <v>1582</v>
      </c>
      <c r="C150" s="115"/>
      <c r="D150" s="117"/>
      <c r="E150" s="132"/>
      <c r="F150" s="133"/>
      <c r="G150" s="133"/>
      <c r="H150" s="119"/>
      <c r="I150" s="134"/>
      <c r="J150" s="133"/>
      <c r="K150" s="118"/>
      <c r="L150" s="118"/>
      <c r="M150" s="118"/>
      <c r="N150" s="118">
        <v>52200</v>
      </c>
      <c r="O150" s="118"/>
      <c r="P150" s="118"/>
      <c r="Q150" s="118"/>
      <c r="R150" s="118"/>
      <c r="S150" s="118"/>
      <c r="T150" s="118"/>
      <c r="U150" s="118"/>
      <c r="V150" s="118">
        <f>SUM(J150:U150)</f>
      </c>
      <c r="W150" s="121" t="s">
        <v>1571</v>
      </c>
      <c r="X150" s="122"/>
      <c r="Y150" s="122"/>
    </row>
    <row x14ac:dyDescent="0.25" r="151" customHeight="1" ht="18.75">
      <c r="A151" s="114" t="s">
        <v>1572</v>
      </c>
      <c r="B151" s="115" t="s">
        <v>1583</v>
      </c>
      <c r="C151" s="115"/>
      <c r="D151" s="117"/>
      <c r="E151" s="132"/>
      <c r="F151" s="133"/>
      <c r="G151" s="133"/>
      <c r="H151" s="119"/>
      <c r="I151" s="134"/>
      <c r="J151" s="133"/>
      <c r="K151" s="118"/>
      <c r="L151" s="118"/>
      <c r="M151" s="118"/>
      <c r="N151" s="118"/>
      <c r="O151" s="118"/>
      <c r="P151" s="118"/>
      <c r="Q151" s="118"/>
      <c r="R151" s="118">
        <v>30000</v>
      </c>
      <c r="S151" s="118"/>
      <c r="T151" s="118"/>
      <c r="U151" s="118"/>
      <c r="V151" s="118">
        <f>SUM(J151:U151)</f>
      </c>
      <c r="W151" s="121" t="s">
        <v>1571</v>
      </c>
      <c r="X151" s="122"/>
      <c r="Y151" s="122"/>
    </row>
    <row x14ac:dyDescent="0.25" r="152" customHeight="1" ht="18.75">
      <c r="A152" s="114" t="s">
        <v>1572</v>
      </c>
      <c r="B152" s="115" t="s">
        <v>1584</v>
      </c>
      <c r="C152" s="115"/>
      <c r="D152" s="117"/>
      <c r="E152" s="132"/>
      <c r="F152" s="133"/>
      <c r="G152" s="133"/>
      <c r="H152" s="119"/>
      <c r="I152" s="134"/>
      <c r="J152" s="133"/>
      <c r="K152" s="118"/>
      <c r="L152" s="118"/>
      <c r="M152" s="118"/>
      <c r="N152" s="118"/>
      <c r="O152" s="118"/>
      <c r="P152" s="118"/>
      <c r="Q152" s="118"/>
      <c r="R152" s="118">
        <v>75791.35</v>
      </c>
      <c r="S152" s="118"/>
      <c r="T152" s="118"/>
      <c r="U152" s="118"/>
      <c r="V152" s="118">
        <f>SUM(J152:U152)</f>
      </c>
      <c r="W152" s="121" t="s">
        <v>1571</v>
      </c>
      <c r="X152" s="122"/>
      <c r="Y152" s="122"/>
    </row>
    <row x14ac:dyDescent="0.25" r="153" customHeight="1" ht="18.75">
      <c r="A153" s="114" t="s">
        <v>1572</v>
      </c>
      <c r="B153" s="115" t="s">
        <v>1585</v>
      </c>
      <c r="C153" s="115"/>
      <c r="D153" s="117"/>
      <c r="E153" s="132"/>
      <c r="F153" s="133"/>
      <c r="G153" s="133"/>
      <c r="H153" s="119"/>
      <c r="I153" s="134"/>
      <c r="J153" s="133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>
        <v>119367.4</v>
      </c>
      <c r="U153" s="118"/>
      <c r="V153" s="118">
        <f>SUM(J153:U153)</f>
      </c>
      <c r="W153" s="121" t="s">
        <v>1571</v>
      </c>
      <c r="X153" s="122"/>
      <c r="Y153" s="122"/>
    </row>
    <row x14ac:dyDescent="0.25" r="154" customHeight="1" ht="18.75">
      <c r="A154" s="114" t="s">
        <v>1572</v>
      </c>
      <c r="B154" s="115" t="s">
        <v>1586</v>
      </c>
      <c r="C154" s="115"/>
      <c r="D154" s="117"/>
      <c r="E154" s="132"/>
      <c r="F154" s="133"/>
      <c r="G154" s="133"/>
      <c r="H154" s="119"/>
      <c r="I154" s="134"/>
      <c r="J154" s="133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>
        <v>42093.51</v>
      </c>
      <c r="U154" s="118"/>
      <c r="V154" s="118">
        <f>SUM(J154:U154)</f>
      </c>
      <c r="W154" s="121" t="s">
        <v>1571</v>
      </c>
      <c r="X154" s="122"/>
      <c r="Y154" s="122"/>
    </row>
    <row x14ac:dyDescent="0.25" r="155" customHeight="1" ht="18.75">
      <c r="A155" s="114" t="s">
        <v>1572</v>
      </c>
      <c r="B155" s="115" t="s">
        <v>1587</v>
      </c>
      <c r="C155" s="115"/>
      <c r="D155" s="117"/>
      <c r="E155" s="132"/>
      <c r="F155" s="133"/>
      <c r="G155" s="133"/>
      <c r="H155" s="119"/>
      <c r="I155" s="134"/>
      <c r="J155" s="133"/>
      <c r="K155" s="118"/>
      <c r="L155" s="118"/>
      <c r="M155" s="118"/>
      <c r="N155" s="118">
        <v>0</v>
      </c>
      <c r="O155" s="118"/>
      <c r="P155" s="118"/>
      <c r="Q155" s="118"/>
      <c r="R155" s="118">
        <v>119367.4</v>
      </c>
      <c r="S155" s="118"/>
      <c r="T155" s="118"/>
      <c r="U155" s="118"/>
      <c r="V155" s="118">
        <f>SUM(J155:U155)</f>
      </c>
      <c r="W155" s="121" t="s">
        <v>1571</v>
      </c>
      <c r="X155" s="122"/>
      <c r="Y155" s="122"/>
    </row>
    <row x14ac:dyDescent="0.25" r="156" customHeight="1" ht="18.75">
      <c r="A156" s="114" t="s">
        <v>1572</v>
      </c>
      <c r="B156" s="115" t="s">
        <v>1588</v>
      </c>
      <c r="C156" s="115"/>
      <c r="D156" s="117"/>
      <c r="E156" s="132"/>
      <c r="F156" s="133"/>
      <c r="G156" s="133"/>
      <c r="H156" s="119"/>
      <c r="I156" s="134"/>
      <c r="J156" s="133"/>
      <c r="K156" s="118"/>
      <c r="L156" s="118"/>
      <c r="M156" s="118"/>
      <c r="N156" s="118"/>
      <c r="O156" s="118">
        <v>42093.51</v>
      </c>
      <c r="P156" s="118"/>
      <c r="Q156" s="118"/>
      <c r="R156" s="118"/>
      <c r="S156" s="118"/>
      <c r="T156" s="118"/>
      <c r="U156" s="118"/>
      <c r="V156" s="118">
        <f>SUM(J156:U156)</f>
      </c>
      <c r="W156" s="121" t="s">
        <v>1571</v>
      </c>
      <c r="X156" s="122"/>
      <c r="Y156" s="122"/>
    </row>
    <row x14ac:dyDescent="0.25" r="157" customHeight="1" ht="18.75">
      <c r="A157" s="114" t="s">
        <v>1572</v>
      </c>
      <c r="B157" s="115" t="s">
        <v>1589</v>
      </c>
      <c r="C157" s="115"/>
      <c r="D157" s="117"/>
      <c r="E157" s="132"/>
      <c r="F157" s="133"/>
      <c r="G157" s="133"/>
      <c r="H157" s="119"/>
      <c r="I157" s="134"/>
      <c r="J157" s="133"/>
      <c r="K157" s="118"/>
      <c r="L157" s="118"/>
      <c r="M157" s="118"/>
      <c r="N157" s="118">
        <v>42093.51</v>
      </c>
      <c r="O157" s="118"/>
      <c r="P157" s="118"/>
      <c r="Q157" s="118"/>
      <c r="R157" s="118"/>
      <c r="S157" s="118"/>
      <c r="T157" s="118"/>
      <c r="U157" s="118"/>
      <c r="V157" s="118">
        <f>SUM(J157:U157)</f>
      </c>
      <c r="W157" s="121" t="s">
        <v>1571</v>
      </c>
      <c r="X157" s="122"/>
      <c r="Y157" s="122"/>
    </row>
    <row x14ac:dyDescent="0.25" r="158" customHeight="1" ht="18.75">
      <c r="A158" s="114" t="s">
        <v>1572</v>
      </c>
      <c r="B158" s="115" t="s">
        <v>1590</v>
      </c>
      <c r="C158" s="115"/>
      <c r="D158" s="117"/>
      <c r="E158" s="132"/>
      <c r="F158" s="133"/>
      <c r="G158" s="133"/>
      <c r="H158" s="119"/>
      <c r="I158" s="134"/>
      <c r="J158" s="133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>
        <v>42093.51</v>
      </c>
      <c r="U158" s="118"/>
      <c r="V158" s="118">
        <f>SUM(J158:U158)</f>
      </c>
      <c r="W158" s="121" t="s">
        <v>1571</v>
      </c>
      <c r="X158" s="122"/>
      <c r="Y158" s="122"/>
    </row>
    <row x14ac:dyDescent="0.25" r="159" customHeight="1" ht="18.75">
      <c r="A159" s="114" t="s">
        <v>1572</v>
      </c>
      <c r="B159" s="131" t="s">
        <v>1591</v>
      </c>
      <c r="C159" s="115"/>
      <c r="D159" s="117"/>
      <c r="E159" s="132"/>
      <c r="F159" s="133"/>
      <c r="G159" s="133"/>
      <c r="H159" s="119"/>
      <c r="I159" s="134"/>
      <c r="J159" s="133"/>
      <c r="K159" s="118"/>
      <c r="L159" s="118">
        <v>0</v>
      </c>
      <c r="M159" s="118"/>
      <c r="N159" s="118"/>
      <c r="O159" s="118"/>
      <c r="P159" s="118"/>
      <c r="Q159" s="118"/>
      <c r="R159" s="118"/>
      <c r="S159" s="118"/>
      <c r="T159" s="118">
        <v>159367.4</v>
      </c>
      <c r="U159" s="118"/>
      <c r="V159" s="118">
        <f>SUM(J159:U159)</f>
      </c>
      <c r="W159" s="121" t="s">
        <v>1571</v>
      </c>
      <c r="X159" s="122"/>
      <c r="Y159" s="122"/>
    </row>
    <row x14ac:dyDescent="0.25" r="160" customHeight="1" ht="18.75">
      <c r="A160" s="114" t="s">
        <v>1592</v>
      </c>
      <c r="B160" s="131" t="s">
        <v>1593</v>
      </c>
      <c r="C160" s="115"/>
      <c r="D160" s="117"/>
      <c r="E160" s="132"/>
      <c r="F160" s="133"/>
      <c r="G160" s="133"/>
      <c r="H160" s="119"/>
      <c r="I160" s="134"/>
      <c r="J160" s="133"/>
      <c r="K160" s="118"/>
      <c r="L160" s="118"/>
      <c r="M160" s="118"/>
      <c r="N160" s="118"/>
      <c r="O160" s="118"/>
      <c r="P160" s="118">
        <v>54427</v>
      </c>
      <c r="Q160" s="118"/>
      <c r="R160" s="118"/>
      <c r="S160" s="118"/>
      <c r="T160" s="118"/>
      <c r="U160" s="118"/>
      <c r="V160" s="118">
        <f>SUM(J160:U160)</f>
      </c>
      <c r="W160" s="121" t="s">
        <v>1594</v>
      </c>
      <c r="X160" s="122"/>
      <c r="Y160" s="122"/>
    </row>
    <row x14ac:dyDescent="0.25" r="161" customHeight="1" ht="18.75">
      <c r="A161" s="114" t="s">
        <v>1592</v>
      </c>
      <c r="B161" s="131" t="s">
        <v>1276</v>
      </c>
      <c r="C161" s="115"/>
      <c r="D161" s="117"/>
      <c r="E161" s="132"/>
      <c r="F161" s="133"/>
      <c r="G161" s="133"/>
      <c r="H161" s="119"/>
      <c r="I161" s="134"/>
      <c r="J161" s="133"/>
      <c r="K161" s="118"/>
      <c r="L161" s="118"/>
      <c r="M161" s="118"/>
      <c r="N161" s="118"/>
      <c r="O161" s="118"/>
      <c r="P161" s="118">
        <v>0</v>
      </c>
      <c r="Q161" s="118"/>
      <c r="R161" s="118">
        <v>55427</v>
      </c>
      <c r="S161" s="118"/>
      <c r="T161" s="118"/>
      <c r="U161" s="118"/>
      <c r="V161" s="118">
        <f>SUM(J161:U161)</f>
      </c>
      <c r="W161" s="121" t="s">
        <v>1594</v>
      </c>
      <c r="X161" s="122"/>
      <c r="Y161" s="122"/>
    </row>
    <row x14ac:dyDescent="0.25" r="162" customHeight="1" ht="18.75">
      <c r="A162" s="114" t="s">
        <v>1592</v>
      </c>
      <c r="B162" s="131" t="s">
        <v>1595</v>
      </c>
      <c r="C162" s="115"/>
      <c r="D162" s="117"/>
      <c r="E162" s="132"/>
      <c r="F162" s="133"/>
      <c r="G162" s="133"/>
      <c r="H162" s="119"/>
      <c r="I162" s="134"/>
      <c r="J162" s="133"/>
      <c r="K162" s="118"/>
      <c r="L162" s="118"/>
      <c r="M162" s="118"/>
      <c r="N162" s="118"/>
      <c r="O162" s="118"/>
      <c r="P162" s="118">
        <v>42927</v>
      </c>
      <c r="Q162" s="118"/>
      <c r="R162" s="118"/>
      <c r="S162" s="118"/>
      <c r="T162" s="118"/>
      <c r="U162" s="118"/>
      <c r="V162" s="118">
        <f>SUM(J162:U162)</f>
      </c>
      <c r="W162" s="121" t="s">
        <v>1594</v>
      </c>
      <c r="X162" s="122"/>
      <c r="Y162" s="122"/>
    </row>
    <row x14ac:dyDescent="0.25" r="163" customHeight="1" ht="18.75">
      <c r="A163" s="114" t="s">
        <v>1592</v>
      </c>
      <c r="B163" s="131" t="s">
        <v>1596</v>
      </c>
      <c r="C163" s="115"/>
      <c r="D163" s="117"/>
      <c r="E163" s="132"/>
      <c r="F163" s="133"/>
      <c r="G163" s="133"/>
      <c r="H163" s="119"/>
      <c r="I163" s="134"/>
      <c r="J163" s="133"/>
      <c r="K163" s="118"/>
      <c r="L163" s="118"/>
      <c r="M163" s="118"/>
      <c r="N163" s="118"/>
      <c r="O163" s="118"/>
      <c r="P163" s="118">
        <v>0</v>
      </c>
      <c r="Q163" s="118"/>
      <c r="R163" s="118"/>
      <c r="S163" s="118"/>
      <c r="T163" s="118">
        <v>50000</v>
      </c>
      <c r="U163" s="118"/>
      <c r="V163" s="118">
        <f>SUM(J163:U163)</f>
      </c>
      <c r="W163" s="121" t="s">
        <v>1594</v>
      </c>
      <c r="X163" s="122"/>
      <c r="Y163" s="122"/>
    </row>
    <row x14ac:dyDescent="0.25" r="164" customHeight="1" ht="18.75">
      <c r="A164" s="114" t="s">
        <v>1592</v>
      </c>
      <c r="B164" s="131" t="s">
        <v>1597</v>
      </c>
      <c r="C164" s="115"/>
      <c r="D164" s="117"/>
      <c r="E164" s="132"/>
      <c r="F164" s="133"/>
      <c r="G164" s="133"/>
      <c r="H164" s="119"/>
      <c r="I164" s="134"/>
      <c r="J164" s="133"/>
      <c r="K164" s="118"/>
      <c r="L164" s="118"/>
      <c r="M164" s="118"/>
      <c r="N164" s="118"/>
      <c r="O164" s="118"/>
      <c r="P164" s="118">
        <v>30427</v>
      </c>
      <c r="Q164" s="118"/>
      <c r="R164" s="118"/>
      <c r="S164" s="118"/>
      <c r="T164" s="118">
        <v>0</v>
      </c>
      <c r="U164" s="118"/>
      <c r="V164" s="118">
        <f>SUM(J164:U164)</f>
      </c>
      <c r="W164" s="121" t="s">
        <v>1594</v>
      </c>
      <c r="X164" s="122"/>
      <c r="Y164" s="122"/>
    </row>
    <row x14ac:dyDescent="0.25" r="165" customHeight="1" ht="18.75">
      <c r="A165" s="114" t="s">
        <v>1592</v>
      </c>
      <c r="B165" s="131" t="s">
        <v>1276</v>
      </c>
      <c r="C165" s="115"/>
      <c r="D165" s="117"/>
      <c r="E165" s="132"/>
      <c r="F165" s="133"/>
      <c r="G165" s="133"/>
      <c r="H165" s="119"/>
      <c r="I165" s="134"/>
      <c r="J165" s="133"/>
      <c r="K165" s="118"/>
      <c r="L165" s="118"/>
      <c r="M165" s="118"/>
      <c r="N165" s="118"/>
      <c r="O165" s="118"/>
      <c r="P165" s="118">
        <v>0</v>
      </c>
      <c r="Q165" s="118"/>
      <c r="R165" s="118"/>
      <c r="S165" s="118"/>
      <c r="T165" s="118">
        <v>92000</v>
      </c>
      <c r="U165" s="118"/>
      <c r="V165" s="118">
        <f>SUM(J165:U165)</f>
      </c>
      <c r="W165" s="121" t="s">
        <v>1594</v>
      </c>
      <c r="X165" s="122"/>
      <c r="Y165" s="122"/>
    </row>
    <row x14ac:dyDescent="0.25" r="166" customHeight="1" ht="18.75">
      <c r="A166" s="114" t="s">
        <v>1592</v>
      </c>
      <c r="B166" s="131" t="s">
        <v>1598</v>
      </c>
      <c r="C166" s="115"/>
      <c r="D166" s="117"/>
      <c r="E166" s="132"/>
      <c r="F166" s="133"/>
      <c r="G166" s="133"/>
      <c r="H166" s="119"/>
      <c r="I166" s="134"/>
      <c r="J166" s="133"/>
      <c r="K166" s="144">
        <v>109927</v>
      </c>
      <c r="L166" s="118"/>
      <c r="M166" s="118"/>
      <c r="N166" s="118"/>
      <c r="O166" s="118"/>
      <c r="P166" s="118">
        <v>0</v>
      </c>
      <c r="Q166" s="118"/>
      <c r="R166" s="118"/>
      <c r="S166" s="118"/>
      <c r="T166" s="118"/>
      <c r="U166" s="118"/>
      <c r="V166" s="118">
        <f>SUM(J166:U166)</f>
      </c>
      <c r="W166" s="121" t="s">
        <v>1594</v>
      </c>
      <c r="X166" s="122"/>
      <c r="Y166" s="122"/>
    </row>
    <row x14ac:dyDescent="0.25" r="167" customHeight="1" ht="18.75">
      <c r="A167" s="114" t="s">
        <v>1592</v>
      </c>
      <c r="B167" s="131" t="s">
        <v>1599</v>
      </c>
      <c r="C167" s="115"/>
      <c r="D167" s="117"/>
      <c r="E167" s="132"/>
      <c r="F167" s="133"/>
      <c r="G167" s="133"/>
      <c r="H167" s="119"/>
      <c r="I167" s="134"/>
      <c r="J167" s="133"/>
      <c r="K167" s="118"/>
      <c r="L167" s="118"/>
      <c r="M167" s="118"/>
      <c r="N167" s="118">
        <v>109927</v>
      </c>
      <c r="O167" s="118"/>
      <c r="P167" s="118">
        <v>0</v>
      </c>
      <c r="Q167" s="118"/>
      <c r="R167" s="118"/>
      <c r="S167" s="118"/>
      <c r="T167" s="118"/>
      <c r="U167" s="118"/>
      <c r="V167" s="118">
        <f>SUM(J167:U167)</f>
      </c>
      <c r="W167" s="121" t="s">
        <v>1594</v>
      </c>
      <c r="X167" s="122"/>
      <c r="Y167" s="122"/>
    </row>
    <row x14ac:dyDescent="0.25" r="168" customHeight="1" ht="18.75">
      <c r="A168" s="114" t="s">
        <v>1592</v>
      </c>
      <c r="B168" s="131" t="s">
        <v>1515</v>
      </c>
      <c r="C168" s="115"/>
      <c r="D168" s="117"/>
      <c r="E168" s="132"/>
      <c r="F168" s="133"/>
      <c r="G168" s="133"/>
      <c r="H168" s="119"/>
      <c r="I168" s="134"/>
      <c r="J168" s="133"/>
      <c r="K168" s="118"/>
      <c r="L168" s="118"/>
      <c r="M168" s="118"/>
      <c r="N168" s="118"/>
      <c r="O168" s="118"/>
      <c r="P168" s="118"/>
      <c r="Q168" s="118"/>
      <c r="R168" s="118">
        <v>92000</v>
      </c>
      <c r="S168" s="118"/>
      <c r="T168" s="118"/>
      <c r="U168" s="118"/>
      <c r="V168" s="118">
        <f>SUM(J168:U168)</f>
      </c>
      <c r="W168" s="121" t="s">
        <v>1594</v>
      </c>
      <c r="X168" s="122"/>
      <c r="Y168" s="122"/>
    </row>
    <row x14ac:dyDescent="0.25" r="169" customHeight="1" ht="18.75">
      <c r="A169" s="114" t="s">
        <v>1592</v>
      </c>
      <c r="B169" s="115" t="s">
        <v>1600</v>
      </c>
      <c r="C169" s="115"/>
      <c r="D169" s="117"/>
      <c r="E169" s="132"/>
      <c r="F169" s="133"/>
      <c r="G169" s="133"/>
      <c r="H169" s="119"/>
      <c r="I169" s="134"/>
      <c r="J169" s="133"/>
      <c r="K169" s="118"/>
      <c r="L169" s="118">
        <v>0</v>
      </c>
      <c r="M169" s="118"/>
      <c r="N169" s="118"/>
      <c r="O169" s="118"/>
      <c r="P169" s="118"/>
      <c r="Q169" s="118"/>
      <c r="R169" s="118"/>
      <c r="S169" s="118"/>
      <c r="T169" s="118"/>
      <c r="U169" s="118">
        <v>94683.69</v>
      </c>
      <c r="V169" s="118">
        <f>SUM(J169:U169)</f>
      </c>
      <c r="W169" s="121" t="s">
        <v>1594</v>
      </c>
      <c r="X169" s="122"/>
      <c r="Y169" s="122"/>
    </row>
    <row x14ac:dyDescent="0.25" r="170" customHeight="1" ht="18.75">
      <c r="A170" s="114" t="s">
        <v>1592</v>
      </c>
      <c r="B170" s="131" t="s">
        <v>1601</v>
      </c>
      <c r="C170" s="115"/>
      <c r="D170" s="117"/>
      <c r="E170" s="132"/>
      <c r="F170" s="133"/>
      <c r="G170" s="133"/>
      <c r="H170" s="119"/>
      <c r="I170" s="134"/>
      <c r="J170" s="133"/>
      <c r="K170" s="118"/>
      <c r="L170" s="118">
        <v>0</v>
      </c>
      <c r="M170" s="118"/>
      <c r="N170" s="118">
        <v>94683.69</v>
      </c>
      <c r="O170" s="118"/>
      <c r="P170" s="118"/>
      <c r="Q170" s="118"/>
      <c r="R170" s="118"/>
      <c r="S170" s="118"/>
      <c r="T170" s="118"/>
      <c r="U170" s="118"/>
      <c r="V170" s="118">
        <f>SUM(J170:U170)</f>
      </c>
      <c r="W170" s="121" t="s">
        <v>1594</v>
      </c>
      <c r="X170" s="122"/>
      <c r="Y170" s="122"/>
    </row>
    <row x14ac:dyDescent="0.25" r="171" customHeight="1" ht="18.75">
      <c r="A171" s="1"/>
      <c r="B171" s="131"/>
      <c r="C171" s="145"/>
      <c r="D171" s="146"/>
      <c r="E171" s="146"/>
      <c r="F171" s="122"/>
      <c r="G171" s="122"/>
      <c r="H171" s="122"/>
      <c r="I171" s="147"/>
      <c r="J171" s="79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40"/>
      <c r="X171" s="122"/>
      <c r="Y171" s="122"/>
    </row>
    <row x14ac:dyDescent="0.25" r="172" customHeight="1" ht="18.75">
      <c r="A172" s="1"/>
      <c r="B172" s="148"/>
      <c r="C172" s="145"/>
      <c r="D172" s="146"/>
      <c r="E172" s="146"/>
      <c r="F172" s="122"/>
      <c r="G172" s="122"/>
      <c r="H172" s="122"/>
      <c r="I172" s="147"/>
      <c r="J172" s="79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40"/>
      <c r="X172" s="122"/>
      <c r="Y172" s="122"/>
    </row>
    <row x14ac:dyDescent="0.25" r="173" customHeight="1" ht="18.75">
      <c r="A173" s="1"/>
      <c r="B173" s="148"/>
      <c r="C173" s="145"/>
      <c r="D173" s="146"/>
      <c r="E173" s="146"/>
      <c r="F173" s="122"/>
      <c r="G173" s="122"/>
      <c r="H173" s="122"/>
      <c r="I173" s="147"/>
      <c r="J173" s="149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40"/>
      <c r="X173" s="122"/>
      <c r="Y173" s="122"/>
    </row>
    <row x14ac:dyDescent="0.25" r="174" customHeight="1" ht="18.75">
      <c r="A174" s="1"/>
      <c r="B174" s="148"/>
      <c r="C174" s="145"/>
      <c r="D174" s="146"/>
      <c r="E174" s="146"/>
      <c r="F174" s="122"/>
      <c r="G174" s="122"/>
      <c r="H174" s="122"/>
      <c r="I174" s="147"/>
      <c r="J174" s="79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40"/>
      <c r="X174" s="122"/>
      <c r="Y174" s="122"/>
    </row>
    <row x14ac:dyDescent="0.25" r="175" customHeight="1" ht="18.75">
      <c r="A175" s="1"/>
      <c r="B175" s="148"/>
      <c r="C175" s="145"/>
      <c r="D175" s="146"/>
      <c r="E175" s="146"/>
      <c r="F175" s="122"/>
      <c r="G175" s="122"/>
      <c r="H175" s="122"/>
      <c r="I175" s="147"/>
      <c r="J175" s="79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"/>
      <c r="X175" s="122"/>
      <c r="Y175" s="122"/>
    </row>
    <row x14ac:dyDescent="0.25" r="176" customHeight="1" ht="18.75">
      <c r="A176" s="1"/>
      <c r="B176" s="148"/>
      <c r="C176" s="145"/>
      <c r="D176" s="146"/>
      <c r="E176" s="146"/>
      <c r="F176" s="122"/>
      <c r="G176" s="122"/>
      <c r="H176" s="122"/>
      <c r="I176" s="147"/>
      <c r="J176" s="79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"/>
      <c r="X176" s="122"/>
      <c r="Y176" s="122"/>
    </row>
    <row x14ac:dyDescent="0.25" r="177" customHeight="1" ht="18.75">
      <c r="A177" s="1"/>
      <c r="B177" s="148"/>
      <c r="C177" s="145"/>
      <c r="D177" s="146"/>
      <c r="E177" s="146"/>
      <c r="F177" s="122"/>
      <c r="G177" s="122"/>
      <c r="H177" s="122"/>
      <c r="I177" s="147"/>
      <c r="J177" s="79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"/>
      <c r="X177" s="122"/>
      <c r="Y177" s="122"/>
    </row>
    <row x14ac:dyDescent="0.25" r="178" customHeight="1" ht="18.75">
      <c r="A178" s="1"/>
      <c r="B178" s="148"/>
      <c r="C178" s="145"/>
      <c r="D178" s="146"/>
      <c r="E178" s="146"/>
      <c r="F178" s="122"/>
      <c r="G178" s="122"/>
      <c r="H178" s="122"/>
      <c r="I178" s="147"/>
      <c r="J178" s="79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"/>
      <c r="X178" s="122"/>
      <c r="Y178" s="122"/>
    </row>
    <row x14ac:dyDescent="0.25" r="179" customHeight="1" ht="18.75">
      <c r="A179" s="1"/>
      <c r="B179" s="148"/>
      <c r="C179" s="145"/>
      <c r="D179" s="146"/>
      <c r="E179" s="146"/>
      <c r="F179" s="122"/>
      <c r="G179" s="122"/>
      <c r="H179" s="122"/>
      <c r="I179" s="147"/>
      <c r="J179" s="79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"/>
      <c r="X179" s="122"/>
      <c r="Y179" s="122"/>
    </row>
    <row x14ac:dyDescent="0.25" r="180" customHeight="1" ht="18.75">
      <c r="A180" s="1"/>
      <c r="B180" s="148"/>
      <c r="C180" s="145"/>
      <c r="D180" s="146"/>
      <c r="E180" s="146"/>
      <c r="F180" s="122"/>
      <c r="G180" s="122"/>
      <c r="H180" s="122"/>
      <c r="I180" s="147"/>
      <c r="J180" s="79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"/>
      <c r="X180" s="122"/>
      <c r="Y180" s="122"/>
    </row>
    <row x14ac:dyDescent="0.25" r="181" customHeight="1" ht="18.75">
      <c r="A181" s="1"/>
      <c r="B181" s="148"/>
      <c r="C181" s="145"/>
      <c r="D181" s="146"/>
      <c r="E181" s="146"/>
      <c r="F181" s="122"/>
      <c r="G181" s="122"/>
      <c r="H181" s="122"/>
      <c r="I181" s="147"/>
      <c r="J181" s="79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"/>
      <c r="X181" s="122"/>
      <c r="Y181" s="122"/>
    </row>
    <row x14ac:dyDescent="0.25" r="182" customHeight="1" ht="18.75">
      <c r="A182" s="1"/>
      <c r="B182" s="148"/>
      <c r="C182" s="145"/>
      <c r="D182" s="146"/>
      <c r="E182" s="146"/>
      <c r="F182" s="122"/>
      <c r="G182" s="122"/>
      <c r="H182" s="122"/>
      <c r="I182" s="147"/>
      <c r="J182" s="79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"/>
      <c r="X182" s="122"/>
      <c r="Y182" s="122"/>
    </row>
    <row x14ac:dyDescent="0.25" r="183" customHeight="1" ht="18.75">
      <c r="A183" s="1"/>
      <c r="B183" s="148"/>
      <c r="C183" s="145"/>
      <c r="D183" s="146"/>
      <c r="E183" s="146"/>
      <c r="F183" s="122"/>
      <c r="G183" s="122"/>
      <c r="H183" s="122"/>
      <c r="I183" s="147"/>
      <c r="J183" s="79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"/>
      <c r="X183" s="122"/>
      <c r="Y183" s="122"/>
    </row>
    <row x14ac:dyDescent="0.25" r="184" customHeight="1" ht="18.75">
      <c r="A184" s="1"/>
      <c r="B184" s="148"/>
      <c r="C184" s="145"/>
      <c r="D184" s="146"/>
      <c r="E184" s="146"/>
      <c r="F184" s="122"/>
      <c r="G184" s="122"/>
      <c r="H184" s="122"/>
      <c r="I184" s="147"/>
      <c r="J184" s="79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"/>
      <c r="X184" s="122"/>
      <c r="Y184" s="122"/>
    </row>
    <row x14ac:dyDescent="0.25" r="185" customHeight="1" ht="18.75">
      <c r="A185" s="1"/>
      <c r="B185" s="148"/>
      <c r="C185" s="145"/>
      <c r="D185" s="146"/>
      <c r="E185" s="146"/>
      <c r="F185" s="122"/>
      <c r="G185" s="122"/>
      <c r="H185" s="122"/>
      <c r="I185" s="147"/>
      <c r="J185" s="79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"/>
      <c r="X185" s="122"/>
      <c r="Y185" s="122"/>
    </row>
    <row x14ac:dyDescent="0.25" r="186" customHeight="1" ht="18.75">
      <c r="A186" s="1"/>
      <c r="B186" s="148"/>
      <c r="C186" s="145"/>
      <c r="D186" s="146"/>
      <c r="E186" s="146"/>
      <c r="F186" s="122"/>
      <c r="G186" s="122"/>
      <c r="H186" s="122"/>
      <c r="I186" s="147"/>
      <c r="J186" s="79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"/>
      <c r="X186" s="122"/>
      <c r="Y186" s="122"/>
    </row>
    <row x14ac:dyDescent="0.25" r="187" customHeight="1" ht="18.75">
      <c r="A187" s="1"/>
      <c r="B187" s="148"/>
      <c r="C187" s="145"/>
      <c r="D187" s="146"/>
      <c r="E187" s="146"/>
      <c r="F187" s="122"/>
      <c r="G187" s="122"/>
      <c r="H187" s="122"/>
      <c r="I187" s="147"/>
      <c r="J187" s="79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"/>
      <c r="X187" s="122"/>
      <c r="Y187" s="122"/>
    </row>
    <row x14ac:dyDescent="0.25" r="188" customHeight="1" ht="18.75">
      <c r="A188" s="1"/>
      <c r="B188" s="148"/>
      <c r="C188" s="145"/>
      <c r="D188" s="146"/>
      <c r="E188" s="146"/>
      <c r="F188" s="122"/>
      <c r="G188" s="122"/>
      <c r="H188" s="122"/>
      <c r="I188" s="147"/>
      <c r="J188" s="79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"/>
      <c r="X188" s="122"/>
      <c r="Y188" s="122"/>
    </row>
    <row x14ac:dyDescent="0.25" r="189" customHeight="1" ht="18.75">
      <c r="A189" s="1"/>
      <c r="B189" s="148"/>
      <c r="C189" s="145"/>
      <c r="D189" s="146"/>
      <c r="E189" s="146"/>
      <c r="F189" s="122"/>
      <c r="G189" s="122"/>
      <c r="H189" s="122"/>
      <c r="I189" s="147"/>
      <c r="J189" s="79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"/>
      <c r="X189" s="122"/>
      <c r="Y189" s="122"/>
    </row>
    <row x14ac:dyDescent="0.25" r="190" customHeight="1" ht="18.75">
      <c r="A190" s="1"/>
      <c r="B190" s="148"/>
      <c r="C190" s="145"/>
      <c r="D190" s="146"/>
      <c r="E190" s="146"/>
      <c r="F190" s="122"/>
      <c r="G190" s="122"/>
      <c r="H190" s="122"/>
      <c r="I190" s="147"/>
      <c r="J190" s="79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"/>
      <c r="X190" s="122"/>
      <c r="Y190" s="122"/>
    </row>
    <row x14ac:dyDescent="0.25" r="191" customHeight="1" ht="18.75">
      <c r="A191" s="1"/>
      <c r="B191" s="148"/>
      <c r="C191" s="145"/>
      <c r="D191" s="146"/>
      <c r="E191" s="146"/>
      <c r="F191" s="122"/>
      <c r="G191" s="122"/>
      <c r="H191" s="122"/>
      <c r="I191" s="147"/>
      <c r="J191" s="79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"/>
      <c r="X191" s="122"/>
      <c r="Y191" s="122"/>
    </row>
    <row x14ac:dyDescent="0.25" r="192" customHeight="1" ht="18.75">
      <c r="A192" s="1"/>
      <c r="B192" s="148"/>
      <c r="C192" s="145"/>
      <c r="D192" s="146"/>
      <c r="E192" s="146"/>
      <c r="F192" s="122"/>
      <c r="G192" s="122"/>
      <c r="H192" s="122"/>
      <c r="I192" s="147"/>
      <c r="J192" s="79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"/>
      <c r="X192" s="122"/>
      <c r="Y192" s="122"/>
    </row>
    <row x14ac:dyDescent="0.25" r="193" customHeight="1" ht="18.75">
      <c r="A193" s="1"/>
      <c r="B193" s="148"/>
      <c r="C193" s="145"/>
      <c r="D193" s="146"/>
      <c r="E193" s="146"/>
      <c r="F193" s="122"/>
      <c r="G193" s="122"/>
      <c r="H193" s="122"/>
      <c r="I193" s="147"/>
      <c r="J193" s="79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"/>
      <c r="X193" s="122"/>
      <c r="Y193" s="122"/>
    </row>
    <row x14ac:dyDescent="0.25" r="194" customHeight="1" ht="18.75">
      <c r="A194" s="1"/>
      <c r="B194" s="148"/>
      <c r="C194" s="145"/>
      <c r="D194" s="146"/>
      <c r="E194" s="146"/>
      <c r="F194" s="122"/>
      <c r="G194" s="122"/>
      <c r="H194" s="122"/>
      <c r="I194" s="147"/>
      <c r="J194" s="79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"/>
      <c r="X194" s="122"/>
      <c r="Y194" s="122"/>
    </row>
    <row x14ac:dyDescent="0.25" r="195" customHeight="1" ht="18.75">
      <c r="A195" s="1"/>
      <c r="B195" s="148"/>
      <c r="C195" s="145"/>
      <c r="D195" s="146"/>
      <c r="E195" s="146"/>
      <c r="F195" s="122"/>
      <c r="G195" s="122"/>
      <c r="H195" s="122"/>
      <c r="I195" s="147"/>
      <c r="J195" s="79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"/>
      <c r="X195" s="122"/>
      <c r="Y195" s="122"/>
    </row>
    <row x14ac:dyDescent="0.25" r="196" customHeight="1" ht="18.75">
      <c r="A196" s="1"/>
      <c r="B196" s="148"/>
      <c r="C196" s="145"/>
      <c r="D196" s="146"/>
      <c r="E196" s="146"/>
      <c r="F196" s="122"/>
      <c r="G196" s="122"/>
      <c r="H196" s="122"/>
      <c r="I196" s="147"/>
      <c r="J196" s="79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"/>
      <c r="X196" s="122"/>
      <c r="Y196" s="122"/>
    </row>
    <row x14ac:dyDescent="0.25" r="197" customHeight="1" ht="18.75">
      <c r="A197" s="1"/>
      <c r="B197" s="148"/>
      <c r="C197" s="145"/>
      <c r="D197" s="146"/>
      <c r="E197" s="146"/>
      <c r="F197" s="122"/>
      <c r="G197" s="122"/>
      <c r="H197" s="122"/>
      <c r="I197" s="147"/>
      <c r="J197" s="79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"/>
      <c r="X197" s="122"/>
      <c r="Y197" s="122"/>
    </row>
    <row x14ac:dyDescent="0.25" r="198" customHeight="1" ht="18.75">
      <c r="A198" s="1"/>
      <c r="B198" s="148"/>
      <c r="C198" s="145"/>
      <c r="D198" s="146"/>
      <c r="E198" s="146"/>
      <c r="F198" s="122"/>
      <c r="G198" s="122"/>
      <c r="H198" s="122"/>
      <c r="I198" s="147"/>
      <c r="J198" s="79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"/>
      <c r="X198" s="122"/>
      <c r="Y198" s="122"/>
    </row>
    <row x14ac:dyDescent="0.25" r="199" customHeight="1" ht="18.75">
      <c r="A199" s="1"/>
      <c r="B199" s="148"/>
      <c r="C199" s="145"/>
      <c r="D199" s="146"/>
      <c r="E199" s="146"/>
      <c r="F199" s="122"/>
      <c r="G199" s="122"/>
      <c r="H199" s="122"/>
      <c r="I199" s="147"/>
      <c r="J199" s="79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"/>
      <c r="X199" s="122"/>
      <c r="Y199" s="122"/>
    </row>
    <row x14ac:dyDescent="0.25" r="200" customHeight="1" ht="18.75">
      <c r="A200" s="1"/>
      <c r="B200" s="148"/>
      <c r="C200" s="145"/>
      <c r="D200" s="146"/>
      <c r="E200" s="146"/>
      <c r="F200" s="122"/>
      <c r="G200" s="122"/>
      <c r="H200" s="122"/>
      <c r="I200" s="147"/>
      <c r="J200" s="79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"/>
      <c r="X200" s="122"/>
      <c r="Y200" s="122"/>
    </row>
    <row x14ac:dyDescent="0.25" r="201" customHeight="1" ht="18.75">
      <c r="A201" s="1"/>
      <c r="B201" s="148"/>
      <c r="C201" s="145"/>
      <c r="D201" s="146"/>
      <c r="E201" s="146"/>
      <c r="F201" s="122"/>
      <c r="G201" s="122"/>
      <c r="H201" s="122"/>
      <c r="I201" s="147"/>
      <c r="J201" s="79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"/>
      <c r="X201" s="122"/>
      <c r="Y201" s="122"/>
    </row>
    <row x14ac:dyDescent="0.25" r="202" customHeight="1" ht="18.75">
      <c r="A202" s="1"/>
      <c r="B202" s="148"/>
      <c r="C202" s="145"/>
      <c r="D202" s="146"/>
      <c r="E202" s="146"/>
      <c r="F202" s="122"/>
      <c r="G202" s="122"/>
      <c r="H202" s="122"/>
      <c r="I202" s="147"/>
      <c r="J202" s="79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"/>
      <c r="X202" s="122"/>
      <c r="Y202" s="122"/>
    </row>
    <row x14ac:dyDescent="0.25" r="203" customHeight="1" ht="18.75">
      <c r="A203" s="1"/>
      <c r="B203" s="148"/>
      <c r="C203" s="145"/>
      <c r="D203" s="146"/>
      <c r="E203" s="146"/>
      <c r="F203" s="122"/>
      <c r="G203" s="122"/>
      <c r="H203" s="122"/>
      <c r="I203" s="147"/>
      <c r="J203" s="79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"/>
      <c r="X203" s="122"/>
      <c r="Y203" s="122"/>
    </row>
    <row x14ac:dyDescent="0.25" r="204" customHeight="1" ht="18.75">
      <c r="A204" s="1"/>
      <c r="B204" s="148"/>
      <c r="C204" s="145"/>
      <c r="D204" s="146"/>
      <c r="E204" s="146"/>
      <c r="F204" s="122"/>
      <c r="G204" s="122"/>
      <c r="H204" s="122"/>
      <c r="I204" s="147"/>
      <c r="J204" s="79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"/>
      <c r="X204" s="122"/>
      <c r="Y204" s="122"/>
    </row>
    <row x14ac:dyDescent="0.25" r="205" customHeight="1" ht="18.75">
      <c r="A205" s="1"/>
      <c r="B205" s="148"/>
      <c r="C205" s="145"/>
      <c r="D205" s="146"/>
      <c r="E205" s="146"/>
      <c r="F205" s="122"/>
      <c r="G205" s="122"/>
      <c r="H205" s="122"/>
      <c r="I205" s="147"/>
      <c r="J205" s="79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"/>
      <c r="X205" s="122"/>
      <c r="Y205" s="122"/>
    </row>
    <row x14ac:dyDescent="0.25" r="206" customHeight="1" ht="18.75">
      <c r="A206" s="1"/>
      <c r="B206" s="148"/>
      <c r="C206" s="145"/>
      <c r="D206" s="146"/>
      <c r="E206" s="146"/>
      <c r="F206" s="122"/>
      <c r="G206" s="122"/>
      <c r="H206" s="122"/>
      <c r="I206" s="147"/>
      <c r="J206" s="79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"/>
      <c r="X206" s="122"/>
      <c r="Y206" s="122"/>
    </row>
    <row x14ac:dyDescent="0.25" r="207" customHeight="1" ht="18.75">
      <c r="A207" s="1"/>
      <c r="B207" s="148"/>
      <c r="C207" s="145"/>
      <c r="D207" s="146"/>
      <c r="E207" s="146"/>
      <c r="F207" s="122"/>
      <c r="G207" s="122"/>
      <c r="H207" s="122"/>
      <c r="I207" s="147"/>
      <c r="J207" s="79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"/>
      <c r="X207" s="122"/>
      <c r="Y207" s="122"/>
    </row>
    <row x14ac:dyDescent="0.25" r="208" customHeight="1" ht="18.75">
      <c r="A208" s="1"/>
      <c r="B208" s="148"/>
      <c r="C208" s="145"/>
      <c r="D208" s="146"/>
      <c r="E208" s="146"/>
      <c r="F208" s="122"/>
      <c r="G208" s="122"/>
      <c r="H208" s="122"/>
      <c r="I208" s="147"/>
      <c r="J208" s="79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"/>
      <c r="X208" s="122"/>
      <c r="Y208" s="122"/>
    </row>
    <row x14ac:dyDescent="0.25" r="209" customHeight="1" ht="18.75">
      <c r="A209" s="1"/>
      <c r="B209" s="148"/>
      <c r="C209" s="145"/>
      <c r="D209" s="146"/>
      <c r="E209" s="146"/>
      <c r="F209" s="122"/>
      <c r="G209" s="122"/>
      <c r="H209" s="122"/>
      <c r="I209" s="147"/>
      <c r="J209" s="79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"/>
      <c r="X209" s="122"/>
      <c r="Y209" s="122"/>
    </row>
    <row x14ac:dyDescent="0.25" r="210" customHeight="1" ht="18.75">
      <c r="A210" s="1"/>
      <c r="B210" s="148"/>
      <c r="C210" s="145"/>
      <c r="D210" s="146"/>
      <c r="E210" s="146"/>
      <c r="F210" s="122"/>
      <c r="G210" s="122"/>
      <c r="H210" s="122"/>
      <c r="I210" s="147"/>
      <c r="J210" s="79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"/>
      <c r="X210" s="122"/>
      <c r="Y210" s="122"/>
    </row>
    <row x14ac:dyDescent="0.25" r="211" customHeight="1" ht="18.75">
      <c r="A211" s="1"/>
      <c r="B211" s="148"/>
      <c r="C211" s="145"/>
      <c r="D211" s="146"/>
      <c r="E211" s="146"/>
      <c r="F211" s="122"/>
      <c r="G211" s="122"/>
      <c r="H211" s="122"/>
      <c r="I211" s="147"/>
      <c r="J211" s="79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"/>
      <c r="X211" s="122"/>
      <c r="Y211" s="122"/>
    </row>
    <row x14ac:dyDescent="0.25" r="212" customHeight="1" ht="18.75">
      <c r="A212" s="1"/>
      <c r="B212" s="148"/>
      <c r="C212" s="145"/>
      <c r="D212" s="146"/>
      <c r="E212" s="146"/>
      <c r="F212" s="122"/>
      <c r="G212" s="122"/>
      <c r="H212" s="122"/>
      <c r="I212" s="147"/>
      <c r="J212" s="79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"/>
      <c r="X212" s="122"/>
      <c r="Y212" s="122"/>
    </row>
    <row x14ac:dyDescent="0.25" r="213" customHeight="1" ht="18.75">
      <c r="A213" s="1"/>
      <c r="B213" s="148"/>
      <c r="C213" s="145"/>
      <c r="D213" s="146"/>
      <c r="E213" s="146"/>
      <c r="F213" s="122"/>
      <c r="G213" s="122"/>
      <c r="H213" s="122"/>
      <c r="I213" s="147"/>
      <c r="J213" s="79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"/>
      <c r="X213" s="122"/>
      <c r="Y213" s="122"/>
    </row>
    <row x14ac:dyDescent="0.25" r="214" customHeight="1" ht="18.75">
      <c r="A214" s="1"/>
      <c r="B214" s="148"/>
      <c r="C214" s="145"/>
      <c r="D214" s="146"/>
      <c r="E214" s="146"/>
      <c r="F214" s="122"/>
      <c r="G214" s="122"/>
      <c r="H214" s="122"/>
      <c r="I214" s="147"/>
      <c r="J214" s="79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"/>
      <c r="X214" s="122"/>
      <c r="Y214" s="122"/>
    </row>
    <row x14ac:dyDescent="0.25" r="215" customHeight="1" ht="18.75">
      <c r="A215" s="1"/>
      <c r="B215" s="148"/>
      <c r="C215" s="145"/>
      <c r="D215" s="146"/>
      <c r="E215" s="146"/>
      <c r="F215" s="122"/>
      <c r="G215" s="122"/>
      <c r="H215" s="122"/>
      <c r="I215" s="147"/>
      <c r="J215" s="79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"/>
      <c r="X215" s="122"/>
      <c r="Y215" s="122"/>
    </row>
    <row x14ac:dyDescent="0.25" r="216" customHeight="1" ht="18.75">
      <c r="A216" s="1"/>
      <c r="B216" s="148"/>
      <c r="C216" s="145"/>
      <c r="D216" s="146"/>
      <c r="E216" s="146"/>
      <c r="F216" s="122"/>
      <c r="G216" s="122"/>
      <c r="H216" s="122"/>
      <c r="I216" s="147"/>
      <c r="J216" s="79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"/>
      <c r="X216" s="122"/>
      <c r="Y216" s="122"/>
    </row>
    <row x14ac:dyDescent="0.25" r="217" customHeight="1" ht="18.75">
      <c r="A217" s="1"/>
      <c r="B217" s="148"/>
      <c r="C217" s="145"/>
      <c r="D217" s="146"/>
      <c r="E217" s="146"/>
      <c r="F217" s="122"/>
      <c r="G217" s="122"/>
      <c r="H217" s="122"/>
      <c r="I217" s="147"/>
      <c r="J217" s="79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"/>
      <c r="X217" s="122"/>
      <c r="Y217" s="122"/>
    </row>
    <row x14ac:dyDescent="0.25" r="218" customHeight="1" ht="18.75">
      <c r="A218" s="1"/>
      <c r="B218" s="148"/>
      <c r="C218" s="145"/>
      <c r="D218" s="146"/>
      <c r="E218" s="146"/>
      <c r="F218" s="122"/>
      <c r="G218" s="122"/>
      <c r="H218" s="122"/>
      <c r="I218" s="147"/>
      <c r="J218" s="79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"/>
      <c r="X218" s="122"/>
      <c r="Y218" s="122"/>
    </row>
    <row x14ac:dyDescent="0.25" r="219" customHeight="1" ht="18.75">
      <c r="A219" s="1"/>
      <c r="B219" s="148"/>
      <c r="C219" s="145"/>
      <c r="D219" s="146"/>
      <c r="E219" s="146"/>
      <c r="F219" s="122"/>
      <c r="G219" s="122"/>
      <c r="H219" s="122"/>
      <c r="I219" s="147"/>
      <c r="J219" s="79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"/>
      <c r="X219" s="122"/>
      <c r="Y219" s="122"/>
    </row>
    <row x14ac:dyDescent="0.25" r="220" customHeight="1" ht="18.75">
      <c r="A220" s="1"/>
      <c r="B220" s="148"/>
      <c r="C220" s="145"/>
      <c r="D220" s="146"/>
      <c r="E220" s="146"/>
      <c r="F220" s="122"/>
      <c r="G220" s="122"/>
      <c r="H220" s="122"/>
      <c r="I220" s="147"/>
      <c r="J220" s="79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"/>
      <c r="X220" s="122"/>
      <c r="Y220" s="122"/>
    </row>
    <row x14ac:dyDescent="0.25" r="221" customHeight="1" ht="18.75">
      <c r="A221" s="1"/>
      <c r="B221" s="148"/>
      <c r="C221" s="145"/>
      <c r="D221" s="146"/>
      <c r="E221" s="146"/>
      <c r="F221" s="122"/>
      <c r="G221" s="122"/>
      <c r="H221" s="122"/>
      <c r="I221" s="147"/>
      <c r="J221" s="79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"/>
      <c r="X221" s="122"/>
      <c r="Y221" s="122"/>
    </row>
    <row x14ac:dyDescent="0.25" r="222" customHeight="1" ht="18.75">
      <c r="A222" s="1"/>
      <c r="B222" s="148"/>
      <c r="C222" s="145"/>
      <c r="D222" s="146"/>
      <c r="E222" s="146"/>
      <c r="F222" s="122"/>
      <c r="G222" s="122"/>
      <c r="H222" s="122"/>
      <c r="I222" s="147"/>
      <c r="J222" s="79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"/>
      <c r="X222" s="122"/>
      <c r="Y222" s="122"/>
    </row>
    <row x14ac:dyDescent="0.25" r="223" customHeight="1" ht="18.75">
      <c r="A223" s="1"/>
      <c r="B223" s="148"/>
      <c r="C223" s="145"/>
      <c r="D223" s="146"/>
      <c r="E223" s="146"/>
      <c r="F223" s="122"/>
      <c r="G223" s="122"/>
      <c r="H223" s="122"/>
      <c r="I223" s="147"/>
      <c r="J223" s="79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"/>
      <c r="X223" s="122"/>
      <c r="Y223" s="122"/>
    </row>
    <row x14ac:dyDescent="0.25" r="224" customHeight="1" ht="18.75">
      <c r="A224" s="1"/>
      <c r="B224" s="148"/>
      <c r="C224" s="145"/>
      <c r="D224" s="146"/>
      <c r="E224" s="146"/>
      <c r="F224" s="122"/>
      <c r="G224" s="122"/>
      <c r="H224" s="122"/>
      <c r="I224" s="147"/>
      <c r="J224" s="79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"/>
      <c r="X224" s="122"/>
      <c r="Y224" s="122"/>
    </row>
    <row x14ac:dyDescent="0.25" r="225" customHeight="1" ht="18.75">
      <c r="A225" s="1"/>
      <c r="B225" s="148"/>
      <c r="C225" s="145"/>
      <c r="D225" s="146"/>
      <c r="E225" s="146"/>
      <c r="F225" s="122"/>
      <c r="G225" s="122"/>
      <c r="H225" s="122"/>
      <c r="I225" s="147"/>
      <c r="J225" s="79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"/>
      <c r="X225" s="122"/>
      <c r="Y225" s="122"/>
    </row>
    <row x14ac:dyDescent="0.25" r="226" customHeight="1" ht="18.75">
      <c r="A226" s="1"/>
      <c r="B226" s="148"/>
      <c r="C226" s="145"/>
      <c r="D226" s="146"/>
      <c r="E226" s="146"/>
      <c r="F226" s="122"/>
      <c r="G226" s="122"/>
      <c r="H226" s="122"/>
      <c r="I226" s="147"/>
      <c r="J226" s="79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"/>
      <c r="X226" s="122"/>
      <c r="Y226" s="122"/>
    </row>
    <row x14ac:dyDescent="0.25" r="227" customHeight="1" ht="18.75">
      <c r="A227" s="1"/>
      <c r="B227" s="148"/>
      <c r="C227" s="145"/>
      <c r="D227" s="146"/>
      <c r="E227" s="146"/>
      <c r="F227" s="122"/>
      <c r="G227" s="122"/>
      <c r="H227" s="122"/>
      <c r="I227" s="147"/>
      <c r="J227" s="79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"/>
      <c r="X227" s="122"/>
      <c r="Y227" s="122"/>
    </row>
    <row x14ac:dyDescent="0.25" r="228" customHeight="1" ht="18.75">
      <c r="A228" s="1"/>
      <c r="B228" s="148"/>
      <c r="C228" s="145"/>
      <c r="D228" s="146"/>
      <c r="E228" s="146"/>
      <c r="F228" s="122"/>
      <c r="G228" s="122"/>
      <c r="H228" s="122"/>
      <c r="I228" s="147"/>
      <c r="J228" s="79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"/>
      <c r="X228" s="122"/>
      <c r="Y228" s="122"/>
    </row>
    <row x14ac:dyDescent="0.25" r="229" customHeight="1" ht="18.75">
      <c r="A229" s="1"/>
      <c r="B229" s="148"/>
      <c r="C229" s="145"/>
      <c r="D229" s="146"/>
      <c r="E229" s="146"/>
      <c r="F229" s="122"/>
      <c r="G229" s="122"/>
      <c r="H229" s="122"/>
      <c r="I229" s="147"/>
      <c r="J229" s="79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"/>
      <c r="X229" s="122"/>
      <c r="Y229" s="122"/>
    </row>
    <row x14ac:dyDescent="0.25" r="230" customHeight="1" ht="18.75">
      <c r="A230" s="1"/>
      <c r="B230" s="148"/>
      <c r="C230" s="145"/>
      <c r="D230" s="146"/>
      <c r="E230" s="146"/>
      <c r="F230" s="122"/>
      <c r="G230" s="122"/>
      <c r="H230" s="122"/>
      <c r="I230" s="147"/>
      <c r="J230" s="79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"/>
      <c r="X230" s="122"/>
      <c r="Y230" s="122"/>
    </row>
    <row x14ac:dyDescent="0.25" r="231" customHeight="1" ht="18.75">
      <c r="A231" s="1"/>
      <c r="B231" s="148"/>
      <c r="C231" s="145"/>
      <c r="D231" s="146"/>
      <c r="E231" s="146"/>
      <c r="F231" s="122"/>
      <c r="G231" s="122"/>
      <c r="H231" s="122"/>
      <c r="I231" s="147"/>
      <c r="J231" s="79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"/>
      <c r="X231" s="122"/>
      <c r="Y231" s="122"/>
    </row>
    <row x14ac:dyDescent="0.25" r="232" customHeight="1" ht="18.75">
      <c r="A232" s="1"/>
      <c r="B232" s="148"/>
      <c r="C232" s="145"/>
      <c r="D232" s="146"/>
      <c r="E232" s="146"/>
      <c r="F232" s="122"/>
      <c r="G232" s="122"/>
      <c r="H232" s="122"/>
      <c r="I232" s="147"/>
      <c r="J232" s="79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"/>
      <c r="X232" s="122"/>
      <c r="Y232" s="122"/>
    </row>
    <row x14ac:dyDescent="0.25" r="233" customHeight="1" ht="18.75">
      <c r="A233" s="1"/>
      <c r="B233" s="148"/>
      <c r="C233" s="145"/>
      <c r="D233" s="146"/>
      <c r="E233" s="146"/>
      <c r="F233" s="122"/>
      <c r="G233" s="122"/>
      <c r="H233" s="122"/>
      <c r="I233" s="147"/>
      <c r="J233" s="79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"/>
      <c r="X233" s="122"/>
      <c r="Y233" s="122"/>
    </row>
    <row x14ac:dyDescent="0.25" r="234" customHeight="1" ht="18.75">
      <c r="A234" s="1"/>
      <c r="B234" s="148"/>
      <c r="C234" s="145"/>
      <c r="D234" s="146"/>
      <c r="E234" s="146"/>
      <c r="F234" s="122"/>
      <c r="G234" s="122"/>
      <c r="H234" s="122"/>
      <c r="I234" s="147"/>
      <c r="J234" s="79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"/>
      <c r="X234" s="122"/>
      <c r="Y234" s="122"/>
    </row>
    <row x14ac:dyDescent="0.25" r="235" customHeight="1" ht="18.75">
      <c r="A235" s="1"/>
      <c r="B235" s="148"/>
      <c r="C235" s="145"/>
      <c r="D235" s="146"/>
      <c r="E235" s="146"/>
      <c r="F235" s="122"/>
      <c r="G235" s="122"/>
      <c r="H235" s="122"/>
      <c r="I235" s="147"/>
      <c r="J235" s="79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"/>
      <c r="X235" s="122"/>
      <c r="Y235" s="122"/>
    </row>
    <row x14ac:dyDescent="0.25" r="236" customHeight="1" ht="18.75">
      <c r="A236" s="1"/>
      <c r="B236" s="148"/>
      <c r="C236" s="145"/>
      <c r="D236" s="146"/>
      <c r="E236" s="146"/>
      <c r="F236" s="122"/>
      <c r="G236" s="122"/>
      <c r="H236" s="122"/>
      <c r="I236" s="147"/>
      <c r="J236" s="79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"/>
      <c r="X236" s="122"/>
      <c r="Y236" s="122"/>
    </row>
    <row x14ac:dyDescent="0.25" r="237" customHeight="1" ht="18.75">
      <c r="A237" s="1"/>
      <c r="B237" s="148"/>
      <c r="C237" s="145"/>
      <c r="D237" s="146"/>
      <c r="E237" s="146"/>
      <c r="F237" s="122"/>
      <c r="G237" s="122"/>
      <c r="H237" s="122"/>
      <c r="I237" s="147"/>
      <c r="J237" s="79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"/>
      <c r="X237" s="122"/>
      <c r="Y237" s="122"/>
    </row>
    <row x14ac:dyDescent="0.25" r="238" customHeight="1" ht="18.75">
      <c r="A238" s="1"/>
      <c r="B238" s="148"/>
      <c r="C238" s="145"/>
      <c r="D238" s="146"/>
      <c r="E238" s="146"/>
      <c r="F238" s="122"/>
      <c r="G238" s="122"/>
      <c r="H238" s="122"/>
      <c r="I238" s="147"/>
      <c r="J238" s="79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"/>
      <c r="X238" s="122"/>
      <c r="Y238" s="122"/>
    </row>
    <row x14ac:dyDescent="0.25" r="239" customHeight="1" ht="18.75">
      <c r="A239" s="1"/>
      <c r="B239" s="148"/>
      <c r="C239" s="145"/>
      <c r="D239" s="146"/>
      <c r="E239" s="146"/>
      <c r="F239" s="122"/>
      <c r="G239" s="122"/>
      <c r="H239" s="122"/>
      <c r="I239" s="147"/>
      <c r="J239" s="79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"/>
      <c r="X239" s="122"/>
      <c r="Y239" s="122"/>
    </row>
    <row x14ac:dyDescent="0.25" r="240" customHeight="1" ht="18.75">
      <c r="A240" s="1"/>
      <c r="B240" s="148"/>
      <c r="C240" s="145"/>
      <c r="D240" s="146"/>
      <c r="E240" s="146"/>
      <c r="F240" s="122"/>
      <c r="G240" s="122"/>
      <c r="H240" s="122"/>
      <c r="I240" s="147"/>
      <c r="J240" s="79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"/>
      <c r="X240" s="122"/>
      <c r="Y240" s="122"/>
    </row>
    <row x14ac:dyDescent="0.25" r="241" customHeight="1" ht="18.75">
      <c r="A241" s="1"/>
      <c r="B241" s="148"/>
      <c r="C241" s="145"/>
      <c r="D241" s="146"/>
      <c r="E241" s="146"/>
      <c r="F241" s="122"/>
      <c r="G241" s="122"/>
      <c r="H241" s="122"/>
      <c r="I241" s="147"/>
      <c r="J241" s="79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"/>
      <c r="X241" s="122"/>
      <c r="Y241" s="122"/>
    </row>
    <row x14ac:dyDescent="0.25" r="242" customHeight="1" ht="18.75">
      <c r="A242" s="1"/>
      <c r="B242" s="148"/>
      <c r="C242" s="145"/>
      <c r="D242" s="146"/>
      <c r="E242" s="146"/>
      <c r="F242" s="122"/>
      <c r="G242" s="122"/>
      <c r="H242" s="122"/>
      <c r="I242" s="147"/>
      <c r="J242" s="79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"/>
      <c r="X242" s="122"/>
      <c r="Y242" s="122"/>
    </row>
    <row x14ac:dyDescent="0.25" r="243" customHeight="1" ht="18.75">
      <c r="A243" s="1"/>
      <c r="B243" s="148"/>
      <c r="C243" s="145"/>
      <c r="D243" s="146"/>
      <c r="E243" s="146"/>
      <c r="F243" s="122"/>
      <c r="G243" s="122"/>
      <c r="H243" s="122"/>
      <c r="I243" s="147"/>
      <c r="J243" s="79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"/>
      <c r="X243" s="122"/>
      <c r="Y243" s="122"/>
    </row>
    <row x14ac:dyDescent="0.25" r="244" customHeight="1" ht="18.75">
      <c r="A244" s="1"/>
      <c r="B244" s="148"/>
      <c r="C244" s="145"/>
      <c r="D244" s="146"/>
      <c r="E244" s="146"/>
      <c r="F244" s="122"/>
      <c r="G244" s="122"/>
      <c r="H244" s="122"/>
      <c r="I244" s="147"/>
      <c r="J244" s="79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"/>
      <c r="X244" s="122"/>
      <c r="Y244" s="122"/>
    </row>
    <row x14ac:dyDescent="0.25" r="245" customHeight="1" ht="18.75">
      <c r="A245" s="1"/>
      <c r="B245" s="148"/>
      <c r="C245" s="145"/>
      <c r="D245" s="146"/>
      <c r="E245" s="146"/>
      <c r="F245" s="122"/>
      <c r="G245" s="122"/>
      <c r="H245" s="122"/>
      <c r="I245" s="147"/>
      <c r="J245" s="79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"/>
      <c r="X245" s="122"/>
      <c r="Y245" s="122"/>
    </row>
    <row x14ac:dyDescent="0.25" r="246" customHeight="1" ht="18.75">
      <c r="A246" s="1"/>
      <c r="B246" s="148"/>
      <c r="C246" s="145"/>
      <c r="D246" s="146"/>
      <c r="E246" s="146"/>
      <c r="F246" s="122"/>
      <c r="G246" s="122"/>
      <c r="H246" s="122"/>
      <c r="I246" s="147"/>
      <c r="J246" s="79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"/>
      <c r="X246" s="122"/>
      <c r="Y246" s="122"/>
    </row>
    <row x14ac:dyDescent="0.25" r="247" customHeight="1" ht="18.75">
      <c r="A247" s="1"/>
      <c r="B247" s="148"/>
      <c r="C247" s="145"/>
      <c r="D247" s="146"/>
      <c r="E247" s="146"/>
      <c r="F247" s="122"/>
      <c r="G247" s="122"/>
      <c r="H247" s="122"/>
      <c r="I247" s="147"/>
      <c r="J247" s="79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"/>
      <c r="X247" s="122"/>
      <c r="Y247" s="122"/>
    </row>
    <row x14ac:dyDescent="0.25" r="248" customHeight="1" ht="18.75">
      <c r="A248" s="1"/>
      <c r="B248" s="148"/>
      <c r="C248" s="145"/>
      <c r="D248" s="146"/>
      <c r="E248" s="146"/>
      <c r="F248" s="122"/>
      <c r="G248" s="122"/>
      <c r="H248" s="122"/>
      <c r="I248" s="147"/>
      <c r="J248" s="79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"/>
      <c r="X248" s="122"/>
      <c r="Y248" s="122"/>
    </row>
    <row x14ac:dyDescent="0.25" r="249" customHeight="1" ht="18.75">
      <c r="A249" s="1"/>
      <c r="B249" s="148"/>
      <c r="C249" s="145"/>
      <c r="D249" s="146"/>
      <c r="E249" s="146"/>
      <c r="F249" s="122"/>
      <c r="G249" s="122"/>
      <c r="H249" s="122"/>
      <c r="I249" s="147"/>
      <c r="J249" s="79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"/>
      <c r="X249" s="122"/>
      <c r="Y249" s="122"/>
    </row>
    <row x14ac:dyDescent="0.25" r="250" customHeight="1" ht="18.75">
      <c r="A250" s="1"/>
      <c r="B250" s="148"/>
      <c r="C250" s="145"/>
      <c r="D250" s="146"/>
      <c r="E250" s="146"/>
      <c r="F250" s="122"/>
      <c r="G250" s="122"/>
      <c r="H250" s="122"/>
      <c r="I250" s="147"/>
      <c r="J250" s="79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"/>
      <c r="X250" s="122"/>
      <c r="Y250" s="122"/>
    </row>
    <row x14ac:dyDescent="0.25" r="251" customHeight="1" ht="18.75">
      <c r="A251" s="1"/>
      <c r="B251" s="148"/>
      <c r="C251" s="145"/>
      <c r="D251" s="146"/>
      <c r="E251" s="146"/>
      <c r="F251" s="122"/>
      <c r="G251" s="122"/>
      <c r="H251" s="122"/>
      <c r="I251" s="147"/>
      <c r="J251" s="79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"/>
      <c r="X251" s="122"/>
      <c r="Y251" s="122"/>
    </row>
    <row x14ac:dyDescent="0.25" r="252" customHeight="1" ht="18.75">
      <c r="A252" s="1"/>
      <c r="B252" s="148"/>
      <c r="C252" s="145"/>
      <c r="D252" s="146"/>
      <c r="E252" s="146"/>
      <c r="F252" s="122"/>
      <c r="G252" s="122"/>
      <c r="H252" s="122"/>
      <c r="I252" s="147"/>
      <c r="J252" s="79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"/>
      <c r="X252" s="122"/>
      <c r="Y252" s="122"/>
    </row>
    <row x14ac:dyDescent="0.25" r="253" customHeight="1" ht="18.75">
      <c r="A253" s="1"/>
      <c r="B253" s="148"/>
      <c r="C253" s="145"/>
      <c r="D253" s="146"/>
      <c r="E253" s="146"/>
      <c r="F253" s="122"/>
      <c r="G253" s="122"/>
      <c r="H253" s="122"/>
      <c r="I253" s="147"/>
      <c r="J253" s="79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"/>
      <c r="X253" s="122"/>
      <c r="Y253" s="122"/>
    </row>
    <row x14ac:dyDescent="0.25" r="254" customHeight="1" ht="18.75">
      <c r="A254" s="1"/>
      <c r="B254" s="148"/>
      <c r="C254" s="145"/>
      <c r="D254" s="146"/>
      <c r="E254" s="146"/>
      <c r="F254" s="122"/>
      <c r="G254" s="122"/>
      <c r="H254" s="122"/>
      <c r="I254" s="147"/>
      <c r="J254" s="79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"/>
      <c r="X254" s="122"/>
      <c r="Y254" s="122"/>
    </row>
    <row x14ac:dyDescent="0.25" r="255" customHeight="1" ht="18.75">
      <c r="A255" s="1"/>
      <c r="B255" s="148"/>
      <c r="C255" s="145"/>
      <c r="D255" s="146"/>
      <c r="E255" s="146"/>
      <c r="F255" s="122"/>
      <c r="G255" s="122"/>
      <c r="H255" s="122"/>
      <c r="I255" s="147"/>
      <c r="J255" s="79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"/>
      <c r="X255" s="122"/>
      <c r="Y255" s="122"/>
    </row>
    <row x14ac:dyDescent="0.25" r="256" customHeight="1" ht="18.75">
      <c r="A256" s="1"/>
      <c r="B256" s="148"/>
      <c r="C256" s="145"/>
      <c r="D256" s="146"/>
      <c r="E256" s="146"/>
      <c r="F256" s="122"/>
      <c r="G256" s="122"/>
      <c r="H256" s="122"/>
      <c r="I256" s="147"/>
      <c r="J256" s="79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"/>
      <c r="X256" s="122"/>
      <c r="Y256" s="122"/>
    </row>
    <row x14ac:dyDescent="0.25" r="257" customHeight="1" ht="18.75">
      <c r="A257" s="1"/>
      <c r="B257" s="148"/>
      <c r="C257" s="145"/>
      <c r="D257" s="146"/>
      <c r="E257" s="146"/>
      <c r="F257" s="122"/>
      <c r="G257" s="122"/>
      <c r="H257" s="122"/>
      <c r="I257" s="147"/>
      <c r="J257" s="79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"/>
      <c r="X257" s="122"/>
      <c r="Y257" s="122"/>
    </row>
    <row x14ac:dyDescent="0.25" r="258" customHeight="1" ht="18.75">
      <c r="A258" s="1"/>
      <c r="B258" s="148"/>
      <c r="C258" s="145"/>
      <c r="D258" s="146"/>
      <c r="E258" s="146"/>
      <c r="F258" s="122"/>
      <c r="G258" s="122"/>
      <c r="H258" s="122"/>
      <c r="I258" s="147"/>
      <c r="J258" s="79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"/>
      <c r="X258" s="122"/>
      <c r="Y258" s="122"/>
    </row>
    <row x14ac:dyDescent="0.25" r="259" customHeight="1" ht="18.75">
      <c r="A259" s="1"/>
      <c r="B259" s="148"/>
      <c r="C259" s="145"/>
      <c r="D259" s="146"/>
      <c r="E259" s="146"/>
      <c r="F259" s="122"/>
      <c r="G259" s="122"/>
      <c r="H259" s="122"/>
      <c r="I259" s="147"/>
      <c r="J259" s="79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"/>
      <c r="X259" s="122"/>
      <c r="Y259" s="122"/>
    </row>
    <row x14ac:dyDescent="0.25" r="260" customHeight="1" ht="18.75">
      <c r="A260" s="1"/>
      <c r="B260" s="148"/>
      <c r="C260" s="145"/>
      <c r="D260" s="146"/>
      <c r="E260" s="146"/>
      <c r="F260" s="122"/>
      <c r="G260" s="122"/>
      <c r="H260" s="122"/>
      <c r="I260" s="147"/>
      <c r="J260" s="79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"/>
      <c r="X260" s="122"/>
      <c r="Y260" s="122"/>
    </row>
    <row x14ac:dyDescent="0.25" r="261" customHeight="1" ht="18.75">
      <c r="A261" s="1"/>
      <c r="B261" s="148"/>
      <c r="C261" s="145"/>
      <c r="D261" s="146"/>
      <c r="E261" s="146"/>
      <c r="F261" s="122"/>
      <c r="G261" s="122"/>
      <c r="H261" s="122"/>
      <c r="I261" s="147"/>
      <c r="J261" s="79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"/>
      <c r="X261" s="122"/>
      <c r="Y261" s="122"/>
    </row>
    <row x14ac:dyDescent="0.25" r="262" customHeight="1" ht="18.75">
      <c r="A262" s="1"/>
      <c r="B262" s="148"/>
      <c r="C262" s="145"/>
      <c r="D262" s="146"/>
      <c r="E262" s="146"/>
      <c r="F262" s="122"/>
      <c r="G262" s="122"/>
      <c r="H262" s="122"/>
      <c r="I262" s="147"/>
      <c r="J262" s="79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"/>
      <c r="X262" s="122"/>
      <c r="Y262" s="122"/>
    </row>
    <row x14ac:dyDescent="0.25" r="263" customHeight="1" ht="18.75">
      <c r="A263" s="1"/>
      <c r="B263" s="148"/>
      <c r="C263" s="145"/>
      <c r="D263" s="146"/>
      <c r="E263" s="146"/>
      <c r="F263" s="122"/>
      <c r="G263" s="122"/>
      <c r="H263" s="122"/>
      <c r="I263" s="147"/>
      <c r="J263" s="79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"/>
      <c r="X263" s="122"/>
      <c r="Y263" s="122"/>
    </row>
    <row x14ac:dyDescent="0.25" r="264" customHeight="1" ht="18.75">
      <c r="A264" s="1"/>
      <c r="B264" s="148"/>
      <c r="C264" s="145"/>
      <c r="D264" s="146"/>
      <c r="E264" s="146"/>
      <c r="F264" s="122"/>
      <c r="G264" s="122"/>
      <c r="H264" s="122"/>
      <c r="I264" s="147"/>
      <c r="J264" s="79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"/>
      <c r="X264" s="122"/>
      <c r="Y264" s="122"/>
    </row>
    <row x14ac:dyDescent="0.25" r="265" customHeight="1" ht="18.75">
      <c r="A265" s="1"/>
      <c r="B265" s="148"/>
      <c r="C265" s="145"/>
      <c r="D265" s="146"/>
      <c r="E265" s="146"/>
      <c r="F265" s="122"/>
      <c r="G265" s="122"/>
      <c r="H265" s="122"/>
      <c r="I265" s="147"/>
      <c r="J265" s="79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"/>
      <c r="X265" s="122"/>
      <c r="Y265" s="122"/>
    </row>
    <row x14ac:dyDescent="0.25" r="266" customHeight="1" ht="18.75">
      <c r="A266" s="1"/>
      <c r="B266" s="148"/>
      <c r="C266" s="145"/>
      <c r="D266" s="146"/>
      <c r="E266" s="146"/>
      <c r="F266" s="122"/>
      <c r="G266" s="122"/>
      <c r="H266" s="122"/>
      <c r="I266" s="147"/>
      <c r="J266" s="79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>
        <f>sum(J266:U266)</f>
      </c>
      <c r="W266" s="1"/>
      <c r="X266" s="122"/>
      <c r="Y266" s="122"/>
    </row>
    <row x14ac:dyDescent="0.25" r="267" customHeight="1" ht="18.75">
      <c r="A267" s="1"/>
      <c r="B267" s="148"/>
      <c r="C267" s="145"/>
      <c r="D267" s="146"/>
      <c r="E267" s="146"/>
      <c r="F267" s="122"/>
      <c r="G267" s="122"/>
      <c r="H267" s="122"/>
      <c r="I267" s="147"/>
      <c r="J267" s="79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>
        <f>sum(J267:U267)</f>
      </c>
      <c r="W267" s="1"/>
      <c r="X267" s="122"/>
      <c r="Y267" s="122"/>
    </row>
    <row x14ac:dyDescent="0.25" r="268" customHeight="1" ht="18.75">
      <c r="A268" s="1"/>
      <c r="B268" s="148"/>
      <c r="C268" s="145"/>
      <c r="D268" s="146"/>
      <c r="E268" s="146"/>
      <c r="F268" s="122"/>
      <c r="G268" s="122"/>
      <c r="H268" s="122"/>
      <c r="I268" s="147"/>
      <c r="J268" s="79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>
        <f>sum(J268:U268)</f>
      </c>
      <c r="W268" s="1"/>
      <c r="X268" s="122"/>
      <c r="Y268" s="122"/>
    </row>
    <row x14ac:dyDescent="0.25" r="269" customHeight="1" ht="18.75">
      <c r="A269" s="1"/>
      <c r="B269" s="148"/>
      <c r="C269" s="145"/>
      <c r="D269" s="146"/>
      <c r="E269" s="146"/>
      <c r="F269" s="122"/>
      <c r="G269" s="122"/>
      <c r="H269" s="122"/>
      <c r="I269" s="147"/>
      <c r="J269" s="79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>
        <f>sum(J269:U269)</f>
      </c>
      <c r="W269" s="1"/>
      <c r="X269" s="122"/>
      <c r="Y269" s="122"/>
    </row>
    <row x14ac:dyDescent="0.25" r="270" customHeight="1" ht="18.75">
      <c r="A270" s="1"/>
      <c r="B270" s="148"/>
      <c r="C270" s="145"/>
      <c r="D270" s="146"/>
      <c r="E270" s="146"/>
      <c r="F270" s="122"/>
      <c r="G270" s="122"/>
      <c r="H270" s="122"/>
      <c r="I270" s="147"/>
      <c r="J270" s="79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>
        <f>sum(J270:U270)</f>
      </c>
      <c r="W270" s="1"/>
      <c r="X270" s="122"/>
      <c r="Y270" s="122"/>
    </row>
    <row x14ac:dyDescent="0.25" r="271" customHeight="1" ht="18.75">
      <c r="A271" s="1"/>
      <c r="B271" s="148"/>
      <c r="C271" s="145"/>
      <c r="D271" s="146"/>
      <c r="E271" s="146"/>
      <c r="F271" s="122"/>
      <c r="G271" s="122"/>
      <c r="H271" s="122"/>
      <c r="I271" s="147"/>
      <c r="J271" s="79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>
        <f>sum(J271:U271)</f>
      </c>
      <c r="W271" s="1"/>
      <c r="X271" s="122"/>
      <c r="Y271" s="122"/>
    </row>
    <row x14ac:dyDescent="0.25" r="272" customHeight="1" ht="18.75">
      <c r="A272" s="1"/>
      <c r="B272" s="148"/>
      <c r="C272" s="145"/>
      <c r="D272" s="146"/>
      <c r="E272" s="146"/>
      <c r="F272" s="122"/>
      <c r="G272" s="122"/>
      <c r="H272" s="122"/>
      <c r="I272" s="147"/>
      <c r="J272" s="79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>
        <f>sum(J272:U272)</f>
      </c>
      <c r="W272" s="1"/>
      <c r="X272" s="122"/>
      <c r="Y272" s="122"/>
    </row>
    <row x14ac:dyDescent="0.25" r="273" customHeight="1" ht="18.75">
      <c r="A273" s="1"/>
      <c r="B273" s="148"/>
      <c r="C273" s="145"/>
      <c r="D273" s="146"/>
      <c r="E273" s="146"/>
      <c r="F273" s="122"/>
      <c r="G273" s="122"/>
      <c r="H273" s="122"/>
      <c r="I273" s="147"/>
      <c r="J273" s="79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>
        <f>sum(J273:U273)</f>
      </c>
      <c r="W273" s="1"/>
      <c r="X273" s="122"/>
      <c r="Y273" s="122"/>
    </row>
    <row x14ac:dyDescent="0.25" r="274" customHeight="1" ht="18.75">
      <c r="A274" s="1"/>
      <c r="B274" s="148"/>
      <c r="C274" s="145"/>
      <c r="D274" s="146"/>
      <c r="E274" s="146"/>
      <c r="F274" s="122"/>
      <c r="G274" s="122"/>
      <c r="H274" s="122"/>
      <c r="I274" s="147"/>
      <c r="J274" s="79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>
        <f>sum(J274:U274)</f>
      </c>
      <c r="W274" s="1"/>
      <c r="X274" s="122"/>
      <c r="Y274" s="122"/>
    </row>
    <row x14ac:dyDescent="0.25" r="275" customHeight="1" ht="18.75">
      <c r="A275" s="1"/>
      <c r="B275" s="148"/>
      <c r="C275" s="145"/>
      <c r="D275" s="146"/>
      <c r="E275" s="146"/>
      <c r="F275" s="122"/>
      <c r="G275" s="122"/>
      <c r="H275" s="122"/>
      <c r="I275" s="147"/>
      <c r="J275" s="79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>
        <f>sum(J275:U275)</f>
      </c>
      <c r="W275" s="1"/>
      <c r="X275" s="122"/>
      <c r="Y275" s="122"/>
    </row>
    <row x14ac:dyDescent="0.25" r="276" customHeight="1" ht="18.75">
      <c r="A276" s="1"/>
      <c r="B276" s="148"/>
      <c r="C276" s="145"/>
      <c r="D276" s="146"/>
      <c r="E276" s="146"/>
      <c r="F276" s="122"/>
      <c r="G276" s="122"/>
      <c r="H276" s="122"/>
      <c r="I276" s="147"/>
      <c r="J276" s="79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>
        <f>sum(J276:U276)</f>
      </c>
      <c r="W276" s="1"/>
      <c r="X276" s="122"/>
      <c r="Y276" s="122"/>
    </row>
    <row x14ac:dyDescent="0.25" r="277" customHeight="1" ht="18.75">
      <c r="A277" s="1"/>
      <c r="B277" s="148"/>
      <c r="C277" s="145"/>
      <c r="D277" s="146"/>
      <c r="E277" s="146"/>
      <c r="F277" s="122"/>
      <c r="G277" s="122"/>
      <c r="H277" s="122"/>
      <c r="I277" s="147"/>
      <c r="J277" s="79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>
        <f>sum(J277:U277)</f>
      </c>
      <c r="W277" s="1"/>
      <c r="X277" s="122"/>
      <c r="Y277" s="122"/>
    </row>
    <row x14ac:dyDescent="0.25" r="278" customHeight="1" ht="18.75">
      <c r="A278" s="1"/>
      <c r="B278" s="148"/>
      <c r="C278" s="145"/>
      <c r="D278" s="146"/>
      <c r="E278" s="146"/>
      <c r="F278" s="122"/>
      <c r="G278" s="122"/>
      <c r="H278" s="122"/>
      <c r="I278" s="147"/>
      <c r="J278" s="79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>
        <f>sum(J278:U278)</f>
      </c>
      <c r="W278" s="1"/>
      <c r="X278" s="122"/>
      <c r="Y278" s="122"/>
    </row>
    <row x14ac:dyDescent="0.25" r="279" customHeight="1" ht="18.75">
      <c r="A279" s="1"/>
      <c r="B279" s="148"/>
      <c r="C279" s="145"/>
      <c r="D279" s="146"/>
      <c r="E279" s="146"/>
      <c r="F279" s="122"/>
      <c r="G279" s="122"/>
      <c r="H279" s="122"/>
      <c r="I279" s="147"/>
      <c r="J279" s="79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>
        <f>sum(J279:U279)</f>
      </c>
      <c r="W279" s="1"/>
      <c r="X279" s="122"/>
      <c r="Y279" s="122"/>
    </row>
    <row x14ac:dyDescent="0.25" r="280" customHeight="1" ht="18.75">
      <c r="A280" s="1"/>
      <c r="B280" s="148"/>
      <c r="C280" s="145"/>
      <c r="D280" s="146"/>
      <c r="E280" s="146"/>
      <c r="F280" s="122"/>
      <c r="G280" s="122"/>
      <c r="H280" s="122"/>
      <c r="I280" s="147"/>
      <c r="J280" s="79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>
        <f>sum(J280:U280)</f>
      </c>
      <c r="W280" s="1"/>
      <c r="X280" s="122"/>
      <c r="Y280" s="122"/>
    </row>
    <row x14ac:dyDescent="0.25" r="281" customHeight="1" ht="18.75">
      <c r="A281" s="1"/>
      <c r="B281" s="148"/>
      <c r="C281" s="145"/>
      <c r="D281" s="146"/>
      <c r="E281" s="146"/>
      <c r="F281" s="122"/>
      <c r="G281" s="122"/>
      <c r="H281" s="122"/>
      <c r="I281" s="147"/>
      <c r="J281" s="79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>
        <f>sum(J281:U281)</f>
      </c>
      <c r="W281" s="1"/>
      <c r="X281" s="122"/>
      <c r="Y281" s="122"/>
    </row>
    <row x14ac:dyDescent="0.25" r="282" customHeight="1" ht="18.75">
      <c r="A282" s="1"/>
      <c r="B282" s="148"/>
      <c r="C282" s="145"/>
      <c r="D282" s="146"/>
      <c r="E282" s="146"/>
      <c r="F282" s="122"/>
      <c r="G282" s="122"/>
      <c r="H282" s="122"/>
      <c r="I282" s="147"/>
      <c r="J282" s="79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>
        <f>sum(J282:U282)</f>
      </c>
      <c r="W282" s="1"/>
      <c r="X282" s="122"/>
      <c r="Y282" s="122"/>
    </row>
    <row x14ac:dyDescent="0.25" r="283" customHeight="1" ht="18.75">
      <c r="A283" s="1"/>
      <c r="B283" s="148"/>
      <c r="C283" s="145"/>
      <c r="D283" s="146"/>
      <c r="E283" s="146"/>
      <c r="F283" s="122"/>
      <c r="G283" s="122"/>
      <c r="H283" s="122"/>
      <c r="I283" s="147"/>
      <c r="J283" s="79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>
        <f>sum(J283:U283)</f>
      </c>
      <c r="W283" s="1"/>
      <c r="X283" s="122"/>
      <c r="Y283" s="122"/>
    </row>
    <row x14ac:dyDescent="0.25" r="284" customHeight="1" ht="18.75">
      <c r="A284" s="1"/>
      <c r="B284" s="148"/>
      <c r="C284" s="145"/>
      <c r="D284" s="146"/>
      <c r="E284" s="146"/>
      <c r="F284" s="122"/>
      <c r="G284" s="122"/>
      <c r="H284" s="122"/>
      <c r="I284" s="147"/>
      <c r="J284" s="79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>
        <f>sum(J284:U284)</f>
      </c>
      <c r="W284" s="1"/>
      <c r="X284" s="122"/>
      <c r="Y284" s="122"/>
    </row>
    <row x14ac:dyDescent="0.25" r="285" customHeight="1" ht="18.75">
      <c r="A285" s="1"/>
      <c r="B285" s="148"/>
      <c r="C285" s="145"/>
      <c r="D285" s="146"/>
      <c r="E285" s="146"/>
      <c r="F285" s="122"/>
      <c r="G285" s="122"/>
      <c r="H285" s="122"/>
      <c r="I285" s="147"/>
      <c r="J285" s="79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>
        <f>sum(J285:U285)</f>
      </c>
      <c r="W285" s="1"/>
      <c r="X285" s="122"/>
      <c r="Y285" s="122"/>
    </row>
    <row x14ac:dyDescent="0.25" r="286" customHeight="1" ht="18.75">
      <c r="A286" s="1"/>
      <c r="B286" s="148"/>
      <c r="C286" s="145"/>
      <c r="D286" s="146"/>
      <c r="E286" s="146"/>
      <c r="F286" s="122"/>
      <c r="G286" s="122"/>
      <c r="H286" s="122"/>
      <c r="I286" s="147"/>
      <c r="J286" s="79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>
        <f>sum(J286:U286)</f>
      </c>
      <c r="W286" s="1"/>
      <c r="X286" s="122"/>
      <c r="Y286" s="122"/>
    </row>
    <row x14ac:dyDescent="0.25" r="287" customHeight="1" ht="18.75">
      <c r="A287" s="1"/>
      <c r="B287" s="148"/>
      <c r="C287" s="145"/>
      <c r="D287" s="146"/>
      <c r="E287" s="146"/>
      <c r="F287" s="122"/>
      <c r="G287" s="122"/>
      <c r="H287" s="122"/>
      <c r="I287" s="147"/>
      <c r="J287" s="79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>
        <f>sum(J287:U287)</f>
      </c>
      <c r="W287" s="1"/>
      <c r="X287" s="122"/>
      <c r="Y287" s="122"/>
    </row>
    <row x14ac:dyDescent="0.25" r="288" customHeight="1" ht="18.75">
      <c r="A288" s="1"/>
      <c r="B288" s="148"/>
      <c r="C288" s="145"/>
      <c r="D288" s="146"/>
      <c r="E288" s="146"/>
      <c r="F288" s="122"/>
      <c r="G288" s="122"/>
      <c r="H288" s="122"/>
      <c r="I288" s="147"/>
      <c r="J288" s="79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>
        <f>sum(J288:U288)</f>
      </c>
      <c r="W288" s="1"/>
      <c r="X288" s="122"/>
      <c r="Y288" s="122"/>
    </row>
    <row x14ac:dyDescent="0.25" r="289" customHeight="1" ht="18.75">
      <c r="A289" s="1"/>
      <c r="B289" s="148"/>
      <c r="C289" s="145"/>
      <c r="D289" s="146"/>
      <c r="E289" s="146"/>
      <c r="F289" s="122"/>
      <c r="G289" s="122"/>
      <c r="H289" s="122"/>
      <c r="I289" s="147"/>
      <c r="J289" s="79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>
        <f>sum(J289:U289)</f>
      </c>
      <c r="W289" s="1"/>
      <c r="X289" s="122"/>
      <c r="Y289" s="122"/>
    </row>
    <row x14ac:dyDescent="0.25" r="290" customHeight="1" ht="18.75">
      <c r="A290" s="1"/>
      <c r="B290" s="148"/>
      <c r="C290" s="145"/>
      <c r="D290" s="146"/>
      <c r="E290" s="146"/>
      <c r="F290" s="122"/>
      <c r="G290" s="122"/>
      <c r="H290" s="122"/>
      <c r="I290" s="147"/>
      <c r="J290" s="79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>
        <f>sum(J290:U290)</f>
      </c>
      <c r="W290" s="1"/>
      <c r="X290" s="122"/>
      <c r="Y290" s="122"/>
    </row>
    <row x14ac:dyDescent="0.25" r="291" customHeight="1" ht="18.75">
      <c r="A291" s="1"/>
      <c r="B291" s="148"/>
      <c r="C291" s="145"/>
      <c r="D291" s="146"/>
      <c r="E291" s="146"/>
      <c r="F291" s="122"/>
      <c r="G291" s="122"/>
      <c r="H291" s="122"/>
      <c r="I291" s="147"/>
      <c r="J291" s="79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>
        <f>sum(J291:U291)</f>
      </c>
      <c r="W291" s="1"/>
      <c r="X291" s="122"/>
      <c r="Y291" s="122"/>
    </row>
    <row x14ac:dyDescent="0.25" r="292" customHeight="1" ht="18.75">
      <c r="A292" s="1"/>
      <c r="B292" s="148"/>
      <c r="C292" s="145"/>
      <c r="D292" s="146"/>
      <c r="E292" s="146"/>
      <c r="F292" s="122"/>
      <c r="G292" s="122"/>
      <c r="H292" s="122"/>
      <c r="I292" s="147"/>
      <c r="J292" s="79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>
        <f>sum(J292:U292)</f>
      </c>
      <c r="W292" s="1"/>
      <c r="X292" s="122"/>
      <c r="Y292" s="122"/>
    </row>
    <row x14ac:dyDescent="0.25" r="293" customHeight="1" ht="18.75">
      <c r="A293" s="1"/>
      <c r="B293" s="148"/>
      <c r="C293" s="145"/>
      <c r="D293" s="146"/>
      <c r="E293" s="146"/>
      <c r="F293" s="122"/>
      <c r="G293" s="122"/>
      <c r="H293" s="122"/>
      <c r="I293" s="147"/>
      <c r="J293" s="79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>
        <f>sum(J293:U293)</f>
      </c>
      <c r="W293" s="1"/>
      <c r="X293" s="122"/>
      <c r="Y293" s="122"/>
    </row>
    <row x14ac:dyDescent="0.25" r="294" customHeight="1" ht="18.75">
      <c r="A294" s="1"/>
      <c r="B294" s="148"/>
      <c r="C294" s="145"/>
      <c r="D294" s="146"/>
      <c r="E294" s="146"/>
      <c r="F294" s="122"/>
      <c r="G294" s="122"/>
      <c r="H294" s="122"/>
      <c r="I294" s="147"/>
      <c r="J294" s="79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>
        <f>sum(J294:U294)</f>
      </c>
      <c r="W294" s="1"/>
      <c r="X294" s="122"/>
      <c r="Y294" s="122"/>
    </row>
    <row x14ac:dyDescent="0.25" r="295" customHeight="1" ht="18.75">
      <c r="A295" s="1"/>
      <c r="B295" s="148"/>
      <c r="C295" s="145"/>
      <c r="D295" s="146"/>
      <c r="E295" s="146"/>
      <c r="F295" s="122"/>
      <c r="G295" s="122"/>
      <c r="H295" s="122"/>
      <c r="I295" s="147"/>
      <c r="J295" s="79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>
        <f>sum(J295:U295)</f>
      </c>
      <c r="W295" s="1"/>
      <c r="X295" s="122"/>
      <c r="Y295" s="122"/>
    </row>
    <row x14ac:dyDescent="0.25" r="296" customHeight="1" ht="18.75">
      <c r="A296" s="1"/>
      <c r="B296" s="148"/>
      <c r="C296" s="145"/>
      <c r="D296" s="146"/>
      <c r="E296" s="146"/>
      <c r="F296" s="122"/>
      <c r="G296" s="122"/>
      <c r="H296" s="122"/>
      <c r="I296" s="147"/>
      <c r="J296" s="79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>
        <f>sum(J296:U296)</f>
      </c>
      <c r="W296" s="1"/>
      <c r="X296" s="122"/>
      <c r="Y296" s="122"/>
    </row>
    <row x14ac:dyDescent="0.25" r="297" customHeight="1" ht="18.75">
      <c r="A297" s="1"/>
      <c r="B297" s="148"/>
      <c r="C297" s="145"/>
      <c r="D297" s="146"/>
      <c r="E297" s="146"/>
      <c r="F297" s="122"/>
      <c r="G297" s="122"/>
      <c r="H297" s="122"/>
      <c r="I297" s="147"/>
      <c r="J297" s="79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>
        <f>sum(J297:U297)</f>
      </c>
      <c r="W297" s="1"/>
      <c r="X297" s="122"/>
      <c r="Y297" s="122"/>
    </row>
    <row x14ac:dyDescent="0.25" r="298" customHeight="1" ht="18.75">
      <c r="A298" s="1"/>
      <c r="B298" s="148"/>
      <c r="C298" s="145"/>
      <c r="D298" s="146"/>
      <c r="E298" s="146"/>
      <c r="F298" s="122"/>
      <c r="G298" s="122"/>
      <c r="H298" s="122"/>
      <c r="I298" s="147"/>
      <c r="J298" s="79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>
        <f>sum(J298:U298)</f>
      </c>
      <c r="W298" s="1"/>
      <c r="X298" s="122"/>
      <c r="Y298" s="122"/>
    </row>
    <row x14ac:dyDescent="0.25" r="299" customHeight="1" ht="18.75">
      <c r="A299" s="1"/>
      <c r="B299" s="148"/>
      <c r="C299" s="145"/>
      <c r="D299" s="146"/>
      <c r="E299" s="146"/>
      <c r="F299" s="122"/>
      <c r="G299" s="122"/>
      <c r="H299" s="122"/>
      <c r="I299" s="147"/>
      <c r="J299" s="79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>
        <f>sum(J299:U299)</f>
      </c>
      <c r="W299" s="1"/>
      <c r="X299" s="122"/>
      <c r="Y299" s="122"/>
    </row>
    <row x14ac:dyDescent="0.25" r="300" customHeight="1" ht="18.75">
      <c r="A300" s="1"/>
      <c r="B300" s="148"/>
      <c r="C300" s="145"/>
      <c r="D300" s="146"/>
      <c r="E300" s="146"/>
      <c r="F300" s="122"/>
      <c r="G300" s="122"/>
      <c r="H300" s="122"/>
      <c r="I300" s="147"/>
      <c r="J300" s="79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>
        <f>sum(J300:U300)</f>
      </c>
      <c r="W300" s="1"/>
      <c r="X300" s="122"/>
      <c r="Y300" s="122"/>
    </row>
    <row x14ac:dyDescent="0.25" r="301" customHeight="1" ht="18.75">
      <c r="A301" s="1"/>
      <c r="B301" s="148"/>
      <c r="C301" s="145"/>
      <c r="D301" s="146"/>
      <c r="E301" s="146"/>
      <c r="F301" s="122"/>
      <c r="G301" s="122"/>
      <c r="H301" s="122"/>
      <c r="I301" s="147"/>
      <c r="J301" s="79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>
        <f>sum(J301:U301)</f>
      </c>
      <c r="W301" s="1"/>
      <c r="X301" s="122"/>
      <c r="Y301" s="122"/>
    </row>
    <row x14ac:dyDescent="0.25" r="302" customHeight="1" ht="18.75">
      <c r="A302" s="1"/>
      <c r="B302" s="148"/>
      <c r="C302" s="145"/>
      <c r="D302" s="146"/>
      <c r="E302" s="146"/>
      <c r="F302" s="122"/>
      <c r="G302" s="122"/>
      <c r="H302" s="122"/>
      <c r="I302" s="147"/>
      <c r="J302" s="79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>
        <f>sum(J302:U302)</f>
      </c>
      <c r="W302" s="1"/>
      <c r="X302" s="122"/>
      <c r="Y302" s="122"/>
    </row>
    <row x14ac:dyDescent="0.25" r="303" customHeight="1" ht="18.75">
      <c r="A303" s="1"/>
      <c r="B303" s="148"/>
      <c r="C303" s="145"/>
      <c r="D303" s="146"/>
      <c r="E303" s="146"/>
      <c r="F303" s="122"/>
      <c r="G303" s="122"/>
      <c r="H303" s="122"/>
      <c r="I303" s="147"/>
      <c r="J303" s="79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>
        <f>sum(J303:U303)</f>
      </c>
      <c r="W303" s="1"/>
      <c r="X303" s="122"/>
      <c r="Y303" s="122"/>
    </row>
    <row x14ac:dyDescent="0.25" r="304" customHeight="1" ht="18.75">
      <c r="A304" s="1"/>
      <c r="B304" s="148"/>
      <c r="C304" s="145"/>
      <c r="D304" s="146"/>
      <c r="E304" s="146"/>
      <c r="F304" s="122"/>
      <c r="G304" s="122"/>
      <c r="H304" s="122"/>
      <c r="I304" s="147"/>
      <c r="J304" s="79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>
        <f>sum(J304:U304)</f>
      </c>
      <c r="W304" s="1"/>
      <c r="X304" s="122"/>
      <c r="Y304" s="122"/>
    </row>
    <row x14ac:dyDescent="0.25" r="305" customHeight="1" ht="18.75">
      <c r="A305" s="1"/>
      <c r="B305" s="148"/>
      <c r="C305" s="145"/>
      <c r="D305" s="146"/>
      <c r="E305" s="146"/>
      <c r="F305" s="122"/>
      <c r="G305" s="122"/>
      <c r="H305" s="122"/>
      <c r="I305" s="147"/>
      <c r="J305" s="79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>
        <f>sum(J305:U305)</f>
      </c>
      <c r="W305" s="1"/>
      <c r="X305" s="122"/>
      <c r="Y305" s="122"/>
    </row>
    <row x14ac:dyDescent="0.25" r="306" customHeight="1" ht="18.75">
      <c r="A306" s="1"/>
      <c r="B306" s="148"/>
      <c r="C306" s="145"/>
      <c r="D306" s="146"/>
      <c r="E306" s="146"/>
      <c r="F306" s="122"/>
      <c r="G306" s="122"/>
      <c r="H306" s="122"/>
      <c r="I306" s="147"/>
      <c r="J306" s="79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>
        <f>sum(J306:U306)</f>
      </c>
      <c r="W306" s="1"/>
      <c r="X306" s="122"/>
      <c r="Y306" s="122"/>
    </row>
    <row x14ac:dyDescent="0.25" r="307" customHeight="1" ht="18.75">
      <c r="A307" s="1"/>
      <c r="B307" s="148"/>
      <c r="C307" s="145"/>
      <c r="D307" s="146"/>
      <c r="E307" s="146"/>
      <c r="F307" s="122"/>
      <c r="G307" s="122"/>
      <c r="H307" s="122"/>
      <c r="I307" s="147"/>
      <c r="J307" s="79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>
        <f>sum(J307:U307)</f>
      </c>
      <c r="W307" s="1"/>
      <c r="X307" s="122"/>
      <c r="Y307" s="122"/>
    </row>
    <row x14ac:dyDescent="0.25" r="308" customHeight="1" ht="18.75">
      <c r="A308" s="1"/>
      <c r="B308" s="148"/>
      <c r="C308" s="145"/>
      <c r="D308" s="146"/>
      <c r="E308" s="146"/>
      <c r="F308" s="122"/>
      <c r="G308" s="122"/>
      <c r="H308" s="122"/>
      <c r="I308" s="147"/>
      <c r="J308" s="79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>
        <f>sum(J308:U308)</f>
      </c>
      <c r="W308" s="1"/>
      <c r="X308" s="122"/>
      <c r="Y308" s="122"/>
    </row>
    <row x14ac:dyDescent="0.25" r="309" customHeight="1" ht="18.75">
      <c r="A309" s="1"/>
      <c r="B309" s="148"/>
      <c r="C309" s="145"/>
      <c r="D309" s="146"/>
      <c r="E309" s="146"/>
      <c r="F309" s="122"/>
      <c r="G309" s="122"/>
      <c r="H309" s="122"/>
      <c r="I309" s="147"/>
      <c r="J309" s="79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>
        <f>sum(J309:U309)</f>
      </c>
      <c r="W309" s="1"/>
      <c r="X309" s="122"/>
      <c r="Y309" s="122"/>
    </row>
    <row x14ac:dyDescent="0.25" r="310" customHeight="1" ht="18.75">
      <c r="A310" s="1"/>
      <c r="B310" s="148"/>
      <c r="C310" s="145"/>
      <c r="D310" s="146"/>
      <c r="E310" s="146"/>
      <c r="F310" s="122"/>
      <c r="G310" s="122"/>
      <c r="H310" s="122"/>
      <c r="I310" s="147"/>
      <c r="J310" s="79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>
        <f>sum(J310:U310)</f>
      </c>
      <c r="W310" s="1"/>
      <c r="X310" s="122"/>
      <c r="Y310" s="122"/>
    </row>
    <row x14ac:dyDescent="0.25" r="311" customHeight="1" ht="18.75">
      <c r="A311" s="1"/>
      <c r="B311" s="148"/>
      <c r="C311" s="145"/>
      <c r="D311" s="146"/>
      <c r="E311" s="146"/>
      <c r="F311" s="122"/>
      <c r="G311" s="122"/>
      <c r="H311" s="122"/>
      <c r="I311" s="147"/>
      <c r="J311" s="79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>
        <f>sum(J311:U311)</f>
      </c>
      <c r="W311" s="1"/>
      <c r="X311" s="122"/>
      <c r="Y311" s="122"/>
    </row>
    <row x14ac:dyDescent="0.25" r="312" customHeight="1" ht="18.75">
      <c r="A312" s="1"/>
      <c r="B312" s="148"/>
      <c r="C312" s="145"/>
      <c r="D312" s="146"/>
      <c r="E312" s="146"/>
      <c r="F312" s="122"/>
      <c r="G312" s="122"/>
      <c r="H312" s="122"/>
      <c r="I312" s="147"/>
      <c r="J312" s="79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>
        <f>sum(J312:U312)</f>
      </c>
      <c r="W312" s="1"/>
      <c r="X312" s="122"/>
      <c r="Y312" s="122"/>
    </row>
    <row x14ac:dyDescent="0.25" r="313" customHeight="1" ht="18.75">
      <c r="A313" s="1"/>
      <c r="B313" s="148"/>
      <c r="C313" s="145"/>
      <c r="D313" s="146"/>
      <c r="E313" s="146"/>
      <c r="F313" s="122"/>
      <c r="G313" s="122"/>
      <c r="H313" s="122"/>
      <c r="I313" s="147"/>
      <c r="J313" s="79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>
        <f>sum(J313:U313)</f>
      </c>
      <c r="W313" s="1"/>
      <c r="X313" s="122"/>
      <c r="Y313" s="122"/>
    </row>
    <row x14ac:dyDescent="0.25" r="314" customHeight="1" ht="18.75">
      <c r="A314" s="1"/>
      <c r="B314" s="148"/>
      <c r="C314" s="145"/>
      <c r="D314" s="146"/>
      <c r="E314" s="146"/>
      <c r="F314" s="122"/>
      <c r="G314" s="122"/>
      <c r="H314" s="122"/>
      <c r="I314" s="147"/>
      <c r="J314" s="79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>
        <f>sum(J314:U314)</f>
      </c>
      <c r="W314" s="1"/>
      <c r="X314" s="122"/>
      <c r="Y314" s="122"/>
    </row>
    <row x14ac:dyDescent="0.25" r="315" customHeight="1" ht="18.75">
      <c r="A315" s="1"/>
      <c r="B315" s="148"/>
      <c r="C315" s="145"/>
      <c r="D315" s="146"/>
      <c r="E315" s="146"/>
      <c r="F315" s="122"/>
      <c r="G315" s="122"/>
      <c r="H315" s="122"/>
      <c r="I315" s="147"/>
      <c r="J315" s="79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>
        <f>sum(J315:U315)</f>
      </c>
      <c r="W315" s="1"/>
      <c r="X315" s="122"/>
      <c r="Y315" s="122"/>
    </row>
    <row x14ac:dyDescent="0.25" r="316" customHeight="1" ht="18.75">
      <c r="A316" s="1"/>
      <c r="B316" s="148"/>
      <c r="C316" s="145"/>
      <c r="D316" s="146"/>
      <c r="E316" s="146"/>
      <c r="F316" s="122"/>
      <c r="G316" s="122"/>
      <c r="H316" s="122"/>
      <c r="I316" s="147"/>
      <c r="J316" s="79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>
        <f>sum(J316:U316)</f>
      </c>
      <c r="W316" s="1"/>
      <c r="X316" s="122"/>
      <c r="Y316" s="122"/>
    </row>
    <row x14ac:dyDescent="0.25" r="317" customHeight="1" ht="18.75">
      <c r="A317" s="1"/>
      <c r="B317" s="148"/>
      <c r="C317" s="145"/>
      <c r="D317" s="146"/>
      <c r="E317" s="146"/>
      <c r="F317" s="122"/>
      <c r="G317" s="122"/>
      <c r="H317" s="122"/>
      <c r="I317" s="147"/>
      <c r="J317" s="79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>
        <f>sum(J317:U317)</f>
      </c>
      <c r="W317" s="1"/>
      <c r="X317" s="122"/>
      <c r="Y317" s="122"/>
    </row>
    <row x14ac:dyDescent="0.25" r="318" customHeight="1" ht="18.75">
      <c r="A318" s="1"/>
      <c r="B318" s="148"/>
      <c r="C318" s="145"/>
      <c r="D318" s="146"/>
      <c r="E318" s="146"/>
      <c r="F318" s="122"/>
      <c r="G318" s="122"/>
      <c r="H318" s="122"/>
      <c r="I318" s="147"/>
      <c r="J318" s="79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>
        <f>sum(J318:U318)</f>
      </c>
      <c r="W318" s="1"/>
      <c r="X318" s="122"/>
      <c r="Y318" s="122"/>
    </row>
    <row x14ac:dyDescent="0.25" r="319" customHeight="1" ht="18.75">
      <c r="A319" s="1"/>
      <c r="B319" s="148"/>
      <c r="C319" s="145"/>
      <c r="D319" s="146"/>
      <c r="E319" s="146"/>
      <c r="F319" s="122"/>
      <c r="G319" s="122"/>
      <c r="H319" s="122"/>
      <c r="I319" s="147"/>
      <c r="J319" s="79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>
        <f>sum(J319:U319)</f>
      </c>
      <c r="W319" s="1"/>
      <c r="X319" s="122"/>
      <c r="Y319" s="122"/>
    </row>
    <row x14ac:dyDescent="0.25" r="320" customHeight="1" ht="18.75">
      <c r="A320" s="1"/>
      <c r="B320" s="148"/>
      <c r="C320" s="145"/>
      <c r="D320" s="146"/>
      <c r="E320" s="146"/>
      <c r="F320" s="122"/>
      <c r="G320" s="122"/>
      <c r="H320" s="122"/>
      <c r="I320" s="147"/>
      <c r="J320" s="79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>
        <f>sum(J320:U320)</f>
      </c>
      <c r="W320" s="1"/>
      <c r="X320" s="122"/>
      <c r="Y320" s="122"/>
    </row>
    <row x14ac:dyDescent="0.25" r="321" customHeight="1" ht="18.75">
      <c r="A321" s="1"/>
      <c r="B321" s="148"/>
      <c r="C321" s="145"/>
      <c r="D321" s="146"/>
      <c r="E321" s="146"/>
      <c r="F321" s="122"/>
      <c r="G321" s="122"/>
      <c r="H321" s="122"/>
      <c r="I321" s="147"/>
      <c r="J321" s="79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>
        <f>sum(J321:U321)</f>
      </c>
      <c r="W321" s="1"/>
      <c r="X321" s="122"/>
      <c r="Y321" s="122"/>
    </row>
    <row x14ac:dyDescent="0.25" r="322" customHeight="1" ht="18.75">
      <c r="A322" s="1"/>
      <c r="B322" s="148"/>
      <c r="C322" s="145"/>
      <c r="D322" s="146"/>
      <c r="E322" s="146"/>
      <c r="F322" s="122"/>
      <c r="G322" s="122"/>
      <c r="H322" s="122"/>
      <c r="I322" s="147"/>
      <c r="J322" s="79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>
        <f>sum(J322:U322)</f>
      </c>
      <c r="W322" s="1"/>
      <c r="X322" s="122"/>
      <c r="Y322" s="122"/>
    </row>
    <row x14ac:dyDescent="0.25" r="323" customHeight="1" ht="18.75">
      <c r="A323" s="1"/>
      <c r="B323" s="148"/>
      <c r="C323" s="145"/>
      <c r="D323" s="146"/>
      <c r="E323" s="146"/>
      <c r="F323" s="122"/>
      <c r="G323" s="122"/>
      <c r="H323" s="122"/>
      <c r="I323" s="147"/>
      <c r="J323" s="79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>
        <f>sum(J323:U323)</f>
      </c>
      <c r="W323" s="1"/>
      <c r="X323" s="122"/>
      <c r="Y323" s="122"/>
    </row>
    <row x14ac:dyDescent="0.25" r="324" customHeight="1" ht="18.75">
      <c r="A324" s="1"/>
      <c r="B324" s="148"/>
      <c r="C324" s="145"/>
      <c r="D324" s="146"/>
      <c r="E324" s="146"/>
      <c r="F324" s="122"/>
      <c r="G324" s="122"/>
      <c r="H324" s="122"/>
      <c r="I324" s="147"/>
      <c r="J324" s="79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>
        <f>sum(J324:U324)</f>
      </c>
      <c r="W324" s="1"/>
      <c r="X324" s="122"/>
      <c r="Y324" s="122"/>
    </row>
    <row x14ac:dyDescent="0.25" r="325" customHeight="1" ht="18.75">
      <c r="A325" s="1"/>
      <c r="B325" s="148"/>
      <c r="C325" s="145"/>
      <c r="D325" s="146"/>
      <c r="E325" s="146"/>
      <c r="F325" s="122"/>
      <c r="G325" s="122"/>
      <c r="H325" s="122"/>
      <c r="I325" s="147"/>
      <c r="J325" s="79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>
        <f>sum(J325:U325)</f>
      </c>
      <c r="W325" s="1"/>
      <c r="X325" s="122"/>
      <c r="Y325" s="122"/>
    </row>
    <row x14ac:dyDescent="0.25" r="326" customHeight="1" ht="18.75">
      <c r="A326" s="1"/>
      <c r="B326" s="148"/>
      <c r="C326" s="145"/>
      <c r="D326" s="146"/>
      <c r="E326" s="146"/>
      <c r="F326" s="122"/>
      <c r="G326" s="122"/>
      <c r="H326" s="122"/>
      <c r="I326" s="147"/>
      <c r="J326" s="79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>
        <f>sum(J326:U326)</f>
      </c>
      <c r="W326" s="1"/>
      <c r="X326" s="122"/>
      <c r="Y326" s="122"/>
    </row>
    <row x14ac:dyDescent="0.25" r="327" customHeight="1" ht="18.75">
      <c r="A327" s="1"/>
      <c r="B327" s="148"/>
      <c r="C327" s="145"/>
      <c r="D327" s="146"/>
      <c r="E327" s="146"/>
      <c r="F327" s="122"/>
      <c r="G327" s="122"/>
      <c r="H327" s="122"/>
      <c r="I327" s="147"/>
      <c r="J327" s="79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>
        <f>sum(J327:U327)</f>
      </c>
      <c r="W327" s="1"/>
      <c r="X327" s="122"/>
      <c r="Y327" s="122"/>
    </row>
    <row x14ac:dyDescent="0.25" r="328" customHeight="1" ht="18.75">
      <c r="A328" s="1"/>
      <c r="B328" s="148"/>
      <c r="C328" s="145"/>
      <c r="D328" s="146"/>
      <c r="E328" s="146"/>
      <c r="F328" s="122"/>
      <c r="G328" s="122"/>
      <c r="H328" s="122"/>
      <c r="I328" s="147"/>
      <c r="J328" s="79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>
        <f>sum(J328:U328)</f>
      </c>
      <c r="W328" s="1"/>
      <c r="X328" s="122"/>
      <c r="Y328" s="122"/>
    </row>
    <row x14ac:dyDescent="0.25" r="329" customHeight="1" ht="18.75">
      <c r="A329" s="1"/>
      <c r="B329" s="148"/>
      <c r="C329" s="145"/>
      <c r="D329" s="146"/>
      <c r="E329" s="146"/>
      <c r="F329" s="122"/>
      <c r="G329" s="122"/>
      <c r="H329" s="122"/>
      <c r="I329" s="147"/>
      <c r="J329" s="79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>
        <f>sum(J329:U329)</f>
      </c>
      <c r="W329" s="1"/>
      <c r="X329" s="122"/>
      <c r="Y329" s="122"/>
    </row>
    <row x14ac:dyDescent="0.25" r="330" customHeight="1" ht="18.75">
      <c r="A330" s="1"/>
      <c r="B330" s="148"/>
      <c r="C330" s="145"/>
      <c r="D330" s="146"/>
      <c r="E330" s="146"/>
      <c r="F330" s="122"/>
      <c r="G330" s="122"/>
      <c r="H330" s="122"/>
      <c r="I330" s="147"/>
      <c r="J330" s="79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>
        <f>sum(J330:U330)</f>
      </c>
      <c r="W330" s="1"/>
      <c r="X330" s="122"/>
      <c r="Y330" s="122"/>
    </row>
    <row x14ac:dyDescent="0.25" r="331" customHeight="1" ht="18.75">
      <c r="A331" s="1"/>
      <c r="B331" s="148"/>
      <c r="C331" s="145"/>
      <c r="D331" s="146"/>
      <c r="E331" s="146"/>
      <c r="F331" s="122"/>
      <c r="G331" s="122"/>
      <c r="H331" s="122"/>
      <c r="I331" s="147"/>
      <c r="J331" s="79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>
        <f>sum(J331:U331)</f>
      </c>
      <c r="W331" s="1"/>
      <c r="X331" s="122"/>
      <c r="Y331" s="122"/>
    </row>
    <row x14ac:dyDescent="0.25" r="332" customHeight="1" ht="18.75">
      <c r="A332" s="1"/>
      <c r="B332" s="148"/>
      <c r="C332" s="145"/>
      <c r="D332" s="146"/>
      <c r="E332" s="146"/>
      <c r="F332" s="122"/>
      <c r="G332" s="122"/>
      <c r="H332" s="122"/>
      <c r="I332" s="147"/>
      <c r="J332" s="79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>
        <f>sum(J332:U332)</f>
      </c>
      <c r="W332" s="1"/>
      <c r="X332" s="122"/>
      <c r="Y332" s="122"/>
    </row>
    <row x14ac:dyDescent="0.25" r="333" customHeight="1" ht="18.75">
      <c r="A333" s="1"/>
      <c r="B333" s="148"/>
      <c r="C333" s="145"/>
      <c r="D333" s="146"/>
      <c r="E333" s="146"/>
      <c r="F333" s="122"/>
      <c r="G333" s="122"/>
      <c r="H333" s="122"/>
      <c r="I333" s="147"/>
      <c r="J333" s="79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>
        <f>sum(J333:U333)</f>
      </c>
      <c r="W333" s="1"/>
      <c r="X333" s="122"/>
      <c r="Y333" s="122"/>
    </row>
    <row x14ac:dyDescent="0.25" r="334" customHeight="1" ht="18.75">
      <c r="A334" s="1"/>
      <c r="B334" s="148"/>
      <c r="C334" s="145"/>
      <c r="D334" s="146"/>
      <c r="E334" s="146"/>
      <c r="F334" s="122"/>
      <c r="G334" s="122"/>
      <c r="H334" s="122"/>
      <c r="I334" s="147"/>
      <c r="J334" s="79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>
        <f>sum(J334:U334)</f>
      </c>
      <c r="W334" s="1"/>
      <c r="X334" s="122"/>
      <c r="Y334" s="122"/>
    </row>
    <row x14ac:dyDescent="0.25" r="335" customHeight="1" ht="18.75">
      <c r="A335" s="1"/>
      <c r="B335" s="148"/>
      <c r="C335" s="145"/>
      <c r="D335" s="146"/>
      <c r="E335" s="146"/>
      <c r="F335" s="122"/>
      <c r="G335" s="122"/>
      <c r="H335" s="122"/>
      <c r="I335" s="147"/>
      <c r="J335" s="79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>
        <f>sum(J335:U335)</f>
      </c>
      <c r="W335" s="1"/>
      <c r="X335" s="122"/>
      <c r="Y335" s="122"/>
    </row>
    <row x14ac:dyDescent="0.25" r="336" customHeight="1" ht="18.75">
      <c r="A336" s="1"/>
      <c r="B336" s="148"/>
      <c r="C336" s="145"/>
      <c r="D336" s="146"/>
      <c r="E336" s="146"/>
      <c r="F336" s="122"/>
      <c r="G336" s="122"/>
      <c r="H336" s="122"/>
      <c r="I336" s="147"/>
      <c r="J336" s="79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>
        <f>sum(J336:U336)</f>
      </c>
      <c r="W336" s="1"/>
      <c r="X336" s="122"/>
      <c r="Y336" s="122"/>
    </row>
    <row x14ac:dyDescent="0.25" r="337" customHeight="1" ht="18.75">
      <c r="A337" s="1"/>
      <c r="B337" s="148"/>
      <c r="C337" s="145"/>
      <c r="D337" s="146"/>
      <c r="E337" s="146"/>
      <c r="F337" s="122"/>
      <c r="G337" s="122"/>
      <c r="H337" s="122"/>
      <c r="I337" s="147"/>
      <c r="J337" s="79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>
        <f>sum(J337:U337)</f>
      </c>
      <c r="W337" s="1"/>
      <c r="X337" s="122"/>
      <c r="Y337" s="122"/>
    </row>
    <row x14ac:dyDescent="0.25" r="338" customHeight="1" ht="18.75">
      <c r="A338" s="1"/>
      <c r="B338" s="148"/>
      <c r="C338" s="145"/>
      <c r="D338" s="146"/>
      <c r="E338" s="146"/>
      <c r="F338" s="122"/>
      <c r="G338" s="122"/>
      <c r="H338" s="122"/>
      <c r="I338" s="147"/>
      <c r="J338" s="79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>
        <f>sum(J338:U338)</f>
      </c>
      <c r="W338" s="1"/>
      <c r="X338" s="122"/>
      <c r="Y338" s="122"/>
    </row>
    <row x14ac:dyDescent="0.25" r="339" customHeight="1" ht="18.75">
      <c r="A339" s="1"/>
      <c r="B339" s="148"/>
      <c r="C339" s="145"/>
      <c r="D339" s="146"/>
      <c r="E339" s="146"/>
      <c r="F339" s="122"/>
      <c r="G339" s="122"/>
      <c r="H339" s="122"/>
      <c r="I339" s="147"/>
      <c r="J339" s="79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>
        <f>sum(J339:U339)</f>
      </c>
      <c r="W339" s="1"/>
      <c r="X339" s="122"/>
      <c r="Y339" s="122"/>
    </row>
    <row x14ac:dyDescent="0.25" r="340" customHeight="1" ht="18.75">
      <c r="A340" s="1"/>
      <c r="B340" s="148"/>
      <c r="C340" s="145"/>
      <c r="D340" s="146"/>
      <c r="E340" s="146"/>
      <c r="F340" s="122"/>
      <c r="G340" s="122"/>
      <c r="H340" s="122"/>
      <c r="I340" s="147"/>
      <c r="J340" s="79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>
        <f>sum(J340:U340)</f>
      </c>
      <c r="W340" s="1"/>
      <c r="X340" s="122"/>
      <c r="Y340" s="122"/>
    </row>
    <row x14ac:dyDescent="0.25" r="341" customHeight="1" ht="18.75">
      <c r="A341" s="1"/>
      <c r="B341" s="148"/>
      <c r="C341" s="145"/>
      <c r="D341" s="146"/>
      <c r="E341" s="146"/>
      <c r="F341" s="122"/>
      <c r="G341" s="122"/>
      <c r="H341" s="122"/>
      <c r="I341" s="147"/>
      <c r="J341" s="79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>
        <f>sum(J341:U341)</f>
      </c>
      <c r="W341" s="1"/>
      <c r="X341" s="122"/>
      <c r="Y341" s="122"/>
    </row>
    <row x14ac:dyDescent="0.25" r="342" customHeight="1" ht="18.75">
      <c r="A342" s="1"/>
      <c r="B342" s="148"/>
      <c r="C342" s="145"/>
      <c r="D342" s="146"/>
      <c r="E342" s="146"/>
      <c r="F342" s="122"/>
      <c r="G342" s="122"/>
      <c r="H342" s="122"/>
      <c r="I342" s="147"/>
      <c r="J342" s="79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>
        <f>sum(J342:U342)</f>
      </c>
      <c r="W342" s="1"/>
      <c r="X342" s="122"/>
      <c r="Y342" s="122"/>
    </row>
    <row x14ac:dyDescent="0.25" r="343" customHeight="1" ht="18.75">
      <c r="A343" s="1"/>
      <c r="B343" s="148"/>
      <c r="C343" s="145"/>
      <c r="D343" s="146"/>
      <c r="E343" s="146"/>
      <c r="F343" s="122"/>
      <c r="G343" s="122"/>
      <c r="H343" s="122"/>
      <c r="I343" s="147"/>
      <c r="J343" s="79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>
        <f>sum(J343:U343)</f>
      </c>
      <c r="W343" s="1"/>
      <c r="X343" s="122"/>
      <c r="Y343" s="122"/>
    </row>
    <row x14ac:dyDescent="0.25" r="344" customHeight="1" ht="18.75">
      <c r="A344" s="1"/>
      <c r="B344" s="148"/>
      <c r="C344" s="145"/>
      <c r="D344" s="146"/>
      <c r="E344" s="146"/>
      <c r="F344" s="122"/>
      <c r="G344" s="122"/>
      <c r="H344" s="122"/>
      <c r="I344" s="147"/>
      <c r="J344" s="79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>
        <f>sum(J344:U344)</f>
      </c>
      <c r="W344" s="1"/>
      <c r="X344" s="122"/>
      <c r="Y344" s="122"/>
    </row>
    <row x14ac:dyDescent="0.25" r="345" customHeight="1" ht="18.75">
      <c r="A345" s="1"/>
      <c r="B345" s="148"/>
      <c r="C345" s="145"/>
      <c r="D345" s="146"/>
      <c r="E345" s="146"/>
      <c r="F345" s="122"/>
      <c r="G345" s="122"/>
      <c r="H345" s="122"/>
      <c r="I345" s="147"/>
      <c r="J345" s="79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>
        <f>sum(J345:U345)</f>
      </c>
      <c r="W345" s="1"/>
      <c r="X345" s="122"/>
      <c r="Y345" s="122"/>
    </row>
    <row x14ac:dyDescent="0.25" r="346" customHeight="1" ht="18.75">
      <c r="A346" s="1"/>
      <c r="B346" s="148"/>
      <c r="C346" s="145"/>
      <c r="D346" s="146"/>
      <c r="E346" s="146"/>
      <c r="F346" s="122"/>
      <c r="G346" s="122"/>
      <c r="H346" s="122"/>
      <c r="I346" s="147"/>
      <c r="J346" s="79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>
        <f>sum(J346:U346)</f>
      </c>
      <c r="W346" s="1"/>
      <c r="X346" s="122"/>
      <c r="Y346" s="122"/>
    </row>
    <row x14ac:dyDescent="0.25" r="347" customHeight="1" ht="18.75">
      <c r="A347" s="1"/>
      <c r="B347" s="148"/>
      <c r="C347" s="145"/>
      <c r="D347" s="146"/>
      <c r="E347" s="146"/>
      <c r="F347" s="122"/>
      <c r="G347" s="122"/>
      <c r="H347" s="122"/>
      <c r="I347" s="147"/>
      <c r="J347" s="79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>
        <f>sum(J347:U347)</f>
      </c>
      <c r="W347" s="1"/>
      <c r="X347" s="122"/>
      <c r="Y347" s="122"/>
    </row>
    <row x14ac:dyDescent="0.25" r="348" customHeight="1" ht="18.75">
      <c r="A348" s="1"/>
      <c r="B348" s="148"/>
      <c r="C348" s="145"/>
      <c r="D348" s="146"/>
      <c r="E348" s="146"/>
      <c r="F348" s="122"/>
      <c r="G348" s="122"/>
      <c r="H348" s="122"/>
      <c r="I348" s="147"/>
      <c r="J348" s="79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>
        <f>sum(J348:U348)</f>
      </c>
      <c r="W348" s="1"/>
      <c r="X348" s="122"/>
      <c r="Y348" s="122"/>
    </row>
    <row x14ac:dyDescent="0.25" r="349" customHeight="1" ht="18.75">
      <c r="A349" s="1"/>
      <c r="B349" s="148"/>
      <c r="C349" s="145"/>
      <c r="D349" s="146"/>
      <c r="E349" s="146"/>
      <c r="F349" s="122"/>
      <c r="G349" s="122"/>
      <c r="H349" s="122"/>
      <c r="I349" s="147"/>
      <c r="J349" s="79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>
        <f>sum(J349:U349)</f>
      </c>
      <c r="W349" s="1"/>
      <c r="X349" s="122"/>
      <c r="Y349" s="122"/>
    </row>
    <row x14ac:dyDescent="0.25" r="350" customHeight="1" ht="18.75">
      <c r="A350" s="1"/>
      <c r="B350" s="148"/>
      <c r="C350" s="145"/>
      <c r="D350" s="146"/>
      <c r="E350" s="146"/>
      <c r="F350" s="122"/>
      <c r="G350" s="122"/>
      <c r="H350" s="122"/>
      <c r="I350" s="147"/>
      <c r="J350" s="79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>
        <f>sum(J350:U350)</f>
      </c>
      <c r="W350" s="1"/>
      <c r="X350" s="122"/>
      <c r="Y350" s="122"/>
    </row>
    <row x14ac:dyDescent="0.25" r="351" customHeight="1" ht="18.75">
      <c r="A351" s="1"/>
      <c r="B351" s="148"/>
      <c r="C351" s="145"/>
      <c r="D351" s="146"/>
      <c r="E351" s="146"/>
      <c r="F351" s="122"/>
      <c r="G351" s="122"/>
      <c r="H351" s="122"/>
      <c r="I351" s="147"/>
      <c r="J351" s="79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>
        <f>sum(J351:U351)</f>
      </c>
      <c r="W351" s="1"/>
      <c r="X351" s="122"/>
      <c r="Y351" s="122"/>
    </row>
    <row x14ac:dyDescent="0.25" r="352" customHeight="1" ht="18.75">
      <c r="A352" s="1"/>
      <c r="B352" s="148"/>
      <c r="C352" s="145"/>
      <c r="D352" s="146"/>
      <c r="E352" s="146"/>
      <c r="F352" s="122"/>
      <c r="G352" s="122"/>
      <c r="H352" s="122"/>
      <c r="I352" s="147"/>
      <c r="J352" s="79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>
        <f>sum(J352:U352)</f>
      </c>
      <c r="W352" s="1"/>
      <c r="X352" s="122"/>
      <c r="Y352" s="122"/>
    </row>
    <row x14ac:dyDescent="0.25" r="353" customHeight="1" ht="18.75">
      <c r="A353" s="1"/>
      <c r="B353" s="148"/>
      <c r="C353" s="145"/>
      <c r="D353" s="146"/>
      <c r="E353" s="146"/>
      <c r="F353" s="122"/>
      <c r="G353" s="122"/>
      <c r="H353" s="122"/>
      <c r="I353" s="147"/>
      <c r="J353" s="79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>
        <f>sum(J353:U353)</f>
      </c>
      <c r="W353" s="1"/>
      <c r="X353" s="122"/>
      <c r="Y353" s="122"/>
    </row>
    <row x14ac:dyDescent="0.25" r="354" customHeight="1" ht="18.75">
      <c r="A354" s="1"/>
      <c r="B354" s="148"/>
      <c r="C354" s="145"/>
      <c r="D354" s="146"/>
      <c r="E354" s="146"/>
      <c r="F354" s="122"/>
      <c r="G354" s="122"/>
      <c r="H354" s="122"/>
      <c r="I354" s="147"/>
      <c r="J354" s="79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>
        <f>sum(J354:U354)</f>
      </c>
      <c r="W354" s="1"/>
      <c r="X354" s="122"/>
      <c r="Y354" s="122"/>
    </row>
    <row x14ac:dyDescent="0.25" r="355" customHeight="1" ht="18.75">
      <c r="A355" s="1"/>
      <c r="B355" s="148"/>
      <c r="C355" s="145"/>
      <c r="D355" s="146"/>
      <c r="E355" s="146"/>
      <c r="F355" s="122"/>
      <c r="G355" s="122"/>
      <c r="H355" s="122"/>
      <c r="I355" s="147"/>
      <c r="J355" s="79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>
        <f>sum(J355:U355)</f>
      </c>
      <c r="W355" s="1"/>
      <c r="X355" s="122"/>
      <c r="Y355" s="122"/>
    </row>
    <row x14ac:dyDescent="0.25" r="356" customHeight="1" ht="18.75">
      <c r="A356" s="1"/>
      <c r="B356" s="148"/>
      <c r="C356" s="145"/>
      <c r="D356" s="146"/>
      <c r="E356" s="146"/>
      <c r="F356" s="122"/>
      <c r="G356" s="122"/>
      <c r="H356" s="122"/>
      <c r="I356" s="147"/>
      <c r="J356" s="79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>
        <f>sum(J356:U356)</f>
      </c>
      <c r="W356" s="1"/>
      <c r="X356" s="122"/>
      <c r="Y356" s="122"/>
    </row>
    <row x14ac:dyDescent="0.25" r="357" customHeight="1" ht="18.75">
      <c r="A357" s="1"/>
      <c r="B357" s="148"/>
      <c r="C357" s="145"/>
      <c r="D357" s="146"/>
      <c r="E357" s="146"/>
      <c r="F357" s="122"/>
      <c r="G357" s="122"/>
      <c r="H357" s="122"/>
      <c r="I357" s="147"/>
      <c r="J357" s="79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>
        <f>sum(J357:U357)</f>
      </c>
      <c r="W357" s="1"/>
      <c r="X357" s="122"/>
      <c r="Y357" s="122"/>
    </row>
    <row x14ac:dyDescent="0.25" r="358" customHeight="1" ht="18.75">
      <c r="A358" s="1"/>
      <c r="B358" s="148"/>
      <c r="C358" s="145"/>
      <c r="D358" s="146"/>
      <c r="E358" s="146"/>
      <c r="F358" s="122"/>
      <c r="G358" s="122"/>
      <c r="H358" s="122"/>
      <c r="I358" s="147"/>
      <c r="J358" s="79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>
        <f>sum(J358:U358)</f>
      </c>
      <c r="W358" s="1"/>
      <c r="X358" s="122"/>
      <c r="Y358" s="122"/>
    </row>
    <row x14ac:dyDescent="0.25" r="359" customHeight="1" ht="18.75">
      <c r="A359" s="1"/>
      <c r="B359" s="148"/>
      <c r="C359" s="145"/>
      <c r="D359" s="146"/>
      <c r="E359" s="146"/>
      <c r="F359" s="122"/>
      <c r="G359" s="122"/>
      <c r="H359" s="122"/>
      <c r="I359" s="147"/>
      <c r="J359" s="79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>
        <f>sum(J359:U359)</f>
      </c>
      <c r="W359" s="1"/>
      <c r="X359" s="122"/>
      <c r="Y359" s="122"/>
    </row>
    <row x14ac:dyDescent="0.25" r="360" customHeight="1" ht="18.75">
      <c r="A360" s="1"/>
      <c r="B360" s="148"/>
      <c r="C360" s="145"/>
      <c r="D360" s="146"/>
      <c r="E360" s="146"/>
      <c r="F360" s="122"/>
      <c r="G360" s="122"/>
      <c r="H360" s="122"/>
      <c r="I360" s="147"/>
      <c r="J360" s="79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>
        <f>sum(J360:U360)</f>
      </c>
      <c r="W360" s="1"/>
      <c r="X360" s="122"/>
      <c r="Y360" s="122"/>
    </row>
    <row x14ac:dyDescent="0.25" r="361" customHeight="1" ht="18.75">
      <c r="A361" s="1"/>
      <c r="B361" s="148"/>
      <c r="C361" s="145"/>
      <c r="D361" s="146"/>
      <c r="E361" s="146"/>
      <c r="F361" s="122"/>
      <c r="G361" s="122"/>
      <c r="H361" s="122"/>
      <c r="I361" s="147"/>
      <c r="J361" s="79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>
        <f>sum(J361:U361)</f>
      </c>
      <c r="W361" s="1"/>
      <c r="X361" s="122"/>
      <c r="Y361" s="122"/>
    </row>
    <row x14ac:dyDescent="0.25" r="362" customHeight="1" ht="18.75">
      <c r="A362" s="1"/>
      <c r="B362" s="148"/>
      <c r="C362" s="145"/>
      <c r="D362" s="146"/>
      <c r="E362" s="146"/>
      <c r="F362" s="122"/>
      <c r="G362" s="122"/>
      <c r="H362" s="122"/>
      <c r="I362" s="147"/>
      <c r="J362" s="79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>
        <f>sum(J362:U362)</f>
      </c>
      <c r="W362" s="1"/>
      <c r="X362" s="122"/>
      <c r="Y362" s="122"/>
    </row>
    <row x14ac:dyDescent="0.25" r="363" customHeight="1" ht="18.75">
      <c r="A363" s="1"/>
      <c r="B363" s="148"/>
      <c r="C363" s="145"/>
      <c r="D363" s="146"/>
      <c r="E363" s="146"/>
      <c r="F363" s="122"/>
      <c r="G363" s="122"/>
      <c r="H363" s="122"/>
      <c r="I363" s="147"/>
      <c r="J363" s="79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>
        <f>sum(J363:U363)</f>
      </c>
      <c r="W363" s="1"/>
      <c r="X363" s="122"/>
      <c r="Y363" s="122"/>
    </row>
    <row x14ac:dyDescent="0.25" r="364" customHeight="1" ht="18.75">
      <c r="A364" s="1"/>
      <c r="B364" s="148"/>
      <c r="C364" s="145"/>
      <c r="D364" s="146"/>
      <c r="E364" s="146"/>
      <c r="F364" s="122"/>
      <c r="G364" s="122"/>
      <c r="H364" s="122"/>
      <c r="I364" s="147"/>
      <c r="J364" s="79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>
        <f>sum(J364:U364)</f>
      </c>
      <c r="W364" s="1"/>
      <c r="X364" s="122"/>
      <c r="Y364" s="122"/>
    </row>
    <row x14ac:dyDescent="0.25" r="365" customHeight="1" ht="18.75">
      <c r="A365" s="1"/>
      <c r="B365" s="148"/>
      <c r="C365" s="145"/>
      <c r="D365" s="146"/>
      <c r="E365" s="146"/>
      <c r="F365" s="122"/>
      <c r="G365" s="122"/>
      <c r="H365" s="122"/>
      <c r="I365" s="147"/>
      <c r="J365" s="79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>
        <f>sum(J365:U365)</f>
      </c>
      <c r="W365" s="1"/>
      <c r="X365" s="122"/>
      <c r="Y365" s="122"/>
    </row>
    <row x14ac:dyDescent="0.25" r="366" customHeight="1" ht="18.75">
      <c r="A366" s="1"/>
      <c r="B366" s="148"/>
      <c r="C366" s="145"/>
      <c r="D366" s="146"/>
      <c r="E366" s="146"/>
      <c r="F366" s="122"/>
      <c r="G366" s="122"/>
      <c r="H366" s="122"/>
      <c r="I366" s="147"/>
      <c r="J366" s="79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>
        <f>sum(J366:U366)</f>
      </c>
      <c r="W366" s="1"/>
      <c r="X366" s="122"/>
      <c r="Y366" s="122"/>
    </row>
    <row x14ac:dyDescent="0.25" r="367" customHeight="1" ht="18.75">
      <c r="A367" s="1"/>
      <c r="B367" s="148"/>
      <c r="C367" s="145"/>
      <c r="D367" s="146"/>
      <c r="E367" s="146"/>
      <c r="F367" s="122"/>
      <c r="G367" s="122"/>
      <c r="H367" s="122"/>
      <c r="I367" s="147"/>
      <c r="J367" s="79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>
        <f>sum(J367:U367)</f>
      </c>
      <c r="W367" s="1"/>
      <c r="X367" s="122"/>
      <c r="Y367" s="122"/>
    </row>
    <row x14ac:dyDescent="0.25" r="368" customHeight="1" ht="18.75">
      <c r="A368" s="1"/>
      <c r="B368" s="148"/>
      <c r="C368" s="145"/>
      <c r="D368" s="146"/>
      <c r="E368" s="146"/>
      <c r="F368" s="122"/>
      <c r="G368" s="122"/>
      <c r="H368" s="122"/>
      <c r="I368" s="147"/>
      <c r="J368" s="79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>
        <f>sum(J368:U368)</f>
      </c>
      <c r="W368" s="1"/>
      <c r="X368" s="122"/>
      <c r="Y368" s="122"/>
    </row>
    <row x14ac:dyDescent="0.25" r="369" customHeight="1" ht="18.75">
      <c r="A369" s="1"/>
      <c r="B369" s="148"/>
      <c r="C369" s="145"/>
      <c r="D369" s="146"/>
      <c r="E369" s="146"/>
      <c r="F369" s="122"/>
      <c r="G369" s="122"/>
      <c r="H369" s="122"/>
      <c r="I369" s="147"/>
      <c r="J369" s="79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>
        <f>sum(J369:U369)</f>
      </c>
      <c r="W369" s="1"/>
      <c r="X369" s="122"/>
      <c r="Y369" s="122"/>
    </row>
    <row x14ac:dyDescent="0.25" r="370" customHeight="1" ht="18.75">
      <c r="A370" s="1"/>
      <c r="B370" s="150"/>
      <c r="C370" s="150"/>
      <c r="D370" s="151"/>
      <c r="E370" s="151"/>
      <c r="F370" s="152"/>
      <c r="G370" s="152"/>
      <c r="H370" s="152"/>
      <c r="I370" s="152"/>
      <c r="J370" s="152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1"/>
      <c r="X370" s="1"/>
      <c r="Y370" s="1"/>
    </row>
    <row x14ac:dyDescent="0.25" r="371" customHeight="1" ht="18.75">
      <c r="A371" s="1"/>
      <c r="B371" s="153" t="s">
        <v>17</v>
      </c>
      <c r="C371" s="154"/>
      <c r="D371" s="151"/>
      <c r="E371" s="151"/>
      <c r="F371" s="155"/>
      <c r="G371" s="155"/>
      <c r="H371" s="155"/>
      <c r="I371" s="156"/>
      <c r="J371" s="157">
        <f>sum(J3:J370)</f>
      </c>
      <c r="K371" s="157">
        <f>sum(K3:K370)</f>
      </c>
      <c r="L371" s="157">
        <f>sum(L3:L370)</f>
      </c>
      <c r="M371" s="157">
        <f>sum(M3:M370)</f>
      </c>
      <c r="N371" s="157">
        <f>sum(N3:N370)</f>
      </c>
      <c r="O371" s="157">
        <f>sum(O3:O370)</f>
      </c>
      <c r="P371" s="157">
        <f>sum(P3:P370)</f>
      </c>
      <c r="Q371" s="157">
        <f>sum(Q3:Q370)</f>
      </c>
      <c r="R371" s="157">
        <f>sum(R3:R370)</f>
      </c>
      <c r="S371" s="157">
        <f>sum(S3:S370)</f>
      </c>
      <c r="T371" s="157">
        <f>sum(T3:T370)</f>
      </c>
      <c r="U371" s="157">
        <f>sum(U3:U370)</f>
      </c>
      <c r="V371" s="157">
        <f>sum(V3:V370)</f>
      </c>
      <c r="W371" s="1"/>
      <c r="X371" s="1"/>
      <c r="Y371" s="1"/>
    </row>
    <row x14ac:dyDescent="0.25" r="372" customHeight="1" ht="18.75">
      <c r="A372" s="1"/>
      <c r="B372" s="150"/>
      <c r="C372" s="150"/>
      <c r="D372" s="151"/>
      <c r="E372" s="151"/>
      <c r="F372" s="152"/>
      <c r="G372" s="152"/>
      <c r="H372" s="152"/>
      <c r="I372" s="152"/>
      <c r="J372" s="152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1"/>
      <c r="X372" s="1"/>
      <c r="Y372" s="1"/>
    </row>
    <row x14ac:dyDescent="0.25" r="373" customHeight="1" ht="18.75">
      <c r="A373" s="1"/>
      <c r="B373" s="150"/>
      <c r="C373" s="150"/>
      <c r="D373" s="151"/>
      <c r="E373" s="151"/>
      <c r="F373" s="152"/>
      <c r="G373" s="152"/>
      <c r="H373" s="152"/>
      <c r="I373" s="152"/>
      <c r="J373" s="152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1"/>
      <c r="X373" s="1"/>
      <c r="Y373" s="1"/>
    </row>
    <row x14ac:dyDescent="0.25" r="374" customHeight="1" ht="18.75">
      <c r="A374" s="1"/>
      <c r="B374" s="153"/>
      <c r="C374" s="154"/>
      <c r="D374" s="151"/>
      <c r="E374" s="151"/>
      <c r="F374" s="155"/>
      <c r="G374" s="155"/>
      <c r="H374" s="155"/>
      <c r="I374" s="156"/>
      <c r="J374" s="155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1"/>
      <c r="X374" s="1"/>
      <c r="Y374" s="1"/>
    </row>
    <row x14ac:dyDescent="0.25" r="375" customHeight="1" ht="18.75">
      <c r="A375" s="1"/>
      <c r="B375" s="150"/>
      <c r="C375" s="150"/>
      <c r="D375" s="151"/>
      <c r="E375" s="151"/>
      <c r="F375" s="152"/>
      <c r="G375" s="152"/>
      <c r="H375" s="152"/>
      <c r="I375" s="152"/>
      <c r="J375" s="152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1"/>
      <c r="X375" s="1"/>
      <c r="Y375" s="1"/>
    </row>
    <row x14ac:dyDescent="0.25" r="376" customHeight="1" ht="18.75">
      <c r="A376" s="1"/>
      <c r="B376" s="150"/>
      <c r="C376" s="150"/>
      <c r="D376" s="151"/>
      <c r="E376" s="151"/>
      <c r="F376" s="152"/>
      <c r="G376" s="152"/>
      <c r="H376" s="152"/>
      <c r="I376" s="152"/>
      <c r="J376" s="152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1"/>
      <c r="X376" s="1"/>
      <c r="Y376" s="1"/>
    </row>
    <row x14ac:dyDescent="0.25" r="377" customHeight="1" ht="18.75">
      <c r="A377" s="1"/>
      <c r="B377" s="153"/>
      <c r="C377" s="154"/>
      <c r="D377" s="151"/>
      <c r="E377" s="151"/>
      <c r="F377" s="155"/>
      <c r="G377" s="155"/>
      <c r="H377" s="155"/>
      <c r="I377" s="156"/>
      <c r="J377" s="155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1"/>
      <c r="X377" s="1"/>
      <c r="Y377" s="1"/>
    </row>
    <row x14ac:dyDescent="0.25" r="378" customHeight="1" ht="18.75">
      <c r="A378" s="1"/>
      <c r="B378" s="150"/>
      <c r="C378" s="150"/>
      <c r="D378" s="151"/>
      <c r="E378" s="151"/>
      <c r="F378" s="152"/>
      <c r="G378" s="152"/>
      <c r="H378" s="152"/>
      <c r="I378" s="152"/>
      <c r="J378" s="152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1"/>
      <c r="X378" s="1"/>
      <c r="Y378" s="1"/>
    </row>
    <row x14ac:dyDescent="0.25" r="379" customHeight="1" ht="18.75">
      <c r="A379" s="1"/>
      <c r="B379" s="150"/>
      <c r="C379" s="150"/>
      <c r="D379" s="151"/>
      <c r="E379" s="151"/>
      <c r="F379" s="152"/>
      <c r="G379" s="152"/>
      <c r="H379" s="152"/>
      <c r="I379" s="152"/>
      <c r="J379" s="152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1"/>
      <c r="X379" s="1"/>
      <c r="Y379" s="1"/>
    </row>
    <row x14ac:dyDescent="0.25" r="380" customHeight="1" ht="18.75">
      <c r="A380" s="1"/>
      <c r="B380" s="153"/>
      <c r="C380" s="154"/>
      <c r="D380" s="151"/>
      <c r="E380" s="151"/>
      <c r="F380" s="155"/>
      <c r="G380" s="155"/>
      <c r="H380" s="155"/>
      <c r="I380" s="156"/>
      <c r="J380" s="155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1"/>
      <c r="X380" s="1"/>
      <c r="Y380" s="1"/>
    </row>
    <row x14ac:dyDescent="0.25" r="381" customHeight="1" ht="18.75">
      <c r="A381" s="1"/>
      <c r="B381" s="150"/>
      <c r="C381" s="150"/>
      <c r="D381" s="151"/>
      <c r="E381" s="151"/>
      <c r="F381" s="152"/>
      <c r="G381" s="152"/>
      <c r="H381" s="152"/>
      <c r="I381" s="152"/>
      <c r="J381" s="152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1"/>
      <c r="X381" s="1"/>
      <c r="Y381" s="1"/>
    </row>
    <row x14ac:dyDescent="0.25" r="382" customHeight="1" ht="18.75">
      <c r="A382" s="1"/>
      <c r="B382" s="150"/>
      <c r="C382" s="150"/>
      <c r="D382" s="151"/>
      <c r="E382" s="151"/>
      <c r="F382" s="152"/>
      <c r="G382" s="152"/>
      <c r="H382" s="152"/>
      <c r="I382" s="152"/>
      <c r="J382" s="152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1"/>
      <c r="X382" s="1"/>
      <c r="Y382" s="1"/>
    </row>
    <row x14ac:dyDescent="0.25" r="383" customHeight="1" ht="18.75">
      <c r="A383" s="1"/>
      <c r="B383" s="153"/>
      <c r="C383" s="154"/>
      <c r="D383" s="151"/>
      <c r="E383" s="151"/>
      <c r="F383" s="155"/>
      <c r="G383" s="155"/>
      <c r="H383" s="155"/>
      <c r="I383" s="156"/>
      <c r="J383" s="155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1"/>
      <c r="X383" s="1"/>
      <c r="Y383" s="1"/>
    </row>
    <row x14ac:dyDescent="0.25" r="384" customHeight="1" ht="18.75">
      <c r="A384" s="1"/>
      <c r="B384" s="150"/>
      <c r="C384" s="150"/>
      <c r="D384" s="151"/>
      <c r="E384" s="151"/>
      <c r="F384" s="152"/>
      <c r="G384" s="152"/>
      <c r="H384" s="152"/>
      <c r="I384" s="152"/>
      <c r="J384" s="152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1"/>
      <c r="X384" s="1"/>
      <c r="Y384" s="1"/>
    </row>
    <row x14ac:dyDescent="0.25" r="385" customHeight="1" ht="18.75">
      <c r="A385" s="1"/>
      <c r="B385" s="150"/>
      <c r="C385" s="150"/>
      <c r="D385" s="151"/>
      <c r="E385" s="151"/>
      <c r="F385" s="152"/>
      <c r="G385" s="152"/>
      <c r="H385" s="152"/>
      <c r="I385" s="152"/>
      <c r="J385" s="152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1"/>
      <c r="X385" s="1"/>
      <c r="Y385" s="1"/>
    </row>
    <row x14ac:dyDescent="0.25" r="386" customHeight="1" ht="18.75">
      <c r="A386" s="1"/>
      <c r="B386" s="153"/>
      <c r="C386" s="154"/>
      <c r="D386" s="151"/>
      <c r="E386" s="151"/>
      <c r="F386" s="155"/>
      <c r="G386" s="155"/>
      <c r="H386" s="155"/>
      <c r="I386" s="156"/>
      <c r="J386" s="155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1"/>
      <c r="X386" s="1"/>
      <c r="Y386" s="1"/>
    </row>
    <row x14ac:dyDescent="0.25" r="387" customHeight="1" ht="18.75">
      <c r="A387" s="1"/>
      <c r="B387" s="150"/>
      <c r="C387" s="150"/>
      <c r="D387" s="151"/>
      <c r="E387" s="151"/>
      <c r="F387" s="152"/>
      <c r="G387" s="152"/>
      <c r="H387" s="152"/>
      <c r="I387" s="152"/>
      <c r="J387" s="152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1"/>
      <c r="X387" s="1"/>
      <c r="Y387" s="1"/>
    </row>
    <row x14ac:dyDescent="0.25" r="388" customHeight="1" ht="18.75">
      <c r="A388" s="1"/>
      <c r="B388" s="150"/>
      <c r="C388" s="150"/>
      <c r="D388" s="151"/>
      <c r="E388" s="151"/>
      <c r="F388" s="152"/>
      <c r="G388" s="152"/>
      <c r="H388" s="152"/>
      <c r="I388" s="152"/>
      <c r="J388" s="152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1"/>
      <c r="X388" s="1"/>
      <c r="Y388" s="1"/>
    </row>
    <row x14ac:dyDescent="0.25" r="389" customHeight="1" ht="18.75">
      <c r="A389" s="1"/>
      <c r="B389" s="153"/>
      <c r="C389" s="154"/>
      <c r="D389" s="151"/>
      <c r="E389" s="151"/>
      <c r="F389" s="155"/>
      <c r="G389" s="155"/>
      <c r="H389" s="155"/>
      <c r="I389" s="156"/>
      <c r="J389" s="155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1"/>
      <c r="X389" s="1"/>
      <c r="Y389" s="1"/>
    </row>
    <row x14ac:dyDescent="0.25" r="390" customHeight="1" ht="18.75">
      <c r="A390" s="1"/>
      <c r="B390" s="150"/>
      <c r="C390" s="150"/>
      <c r="D390" s="151"/>
      <c r="E390" s="151"/>
      <c r="F390" s="152"/>
      <c r="G390" s="152"/>
      <c r="H390" s="152"/>
      <c r="I390" s="152"/>
      <c r="J390" s="152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1"/>
      <c r="X390" s="1"/>
      <c r="Y390" s="1"/>
    </row>
    <row x14ac:dyDescent="0.25" r="391" customHeight="1" ht="18.75">
      <c r="A391" s="1"/>
      <c r="B391" s="150"/>
      <c r="C391" s="150"/>
      <c r="D391" s="151"/>
      <c r="E391" s="151"/>
      <c r="F391" s="152"/>
      <c r="G391" s="152"/>
      <c r="H391" s="152"/>
      <c r="I391" s="152"/>
      <c r="J391" s="152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1"/>
      <c r="X391" s="1"/>
      <c r="Y391" s="1"/>
    </row>
    <row x14ac:dyDescent="0.25" r="392" customHeight="1" ht="18.75">
      <c r="A392" s="1"/>
      <c r="B392" s="153"/>
      <c r="C392" s="154"/>
      <c r="D392" s="151"/>
      <c r="E392" s="151"/>
      <c r="F392" s="155"/>
      <c r="G392" s="155"/>
      <c r="H392" s="155"/>
      <c r="I392" s="156"/>
      <c r="J392" s="155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1"/>
      <c r="X392" s="1"/>
      <c r="Y392" s="1"/>
    </row>
    <row x14ac:dyDescent="0.25" r="393" customHeight="1" ht="18.75">
      <c r="A393" s="1"/>
      <c r="B393" s="153"/>
      <c r="C393" s="153"/>
      <c r="D393" s="151"/>
      <c r="E393" s="151"/>
      <c r="F393" s="155"/>
      <c r="G393" s="155"/>
      <c r="H393" s="155"/>
      <c r="I393" s="156"/>
      <c r="J393" s="155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1"/>
      <c r="X393" s="1"/>
      <c r="Y393" s="1"/>
    </row>
    <row x14ac:dyDescent="0.25" r="394" customHeight="1" ht="18.75">
      <c r="A394" s="1"/>
      <c r="B394" s="150"/>
      <c r="C394" s="150"/>
      <c r="D394" s="151"/>
      <c r="E394" s="151"/>
      <c r="F394" s="152"/>
      <c r="G394" s="152"/>
      <c r="H394" s="152"/>
      <c r="I394" s="152"/>
      <c r="J394" s="152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1"/>
      <c r="X394" s="1"/>
      <c r="Y394" s="1"/>
    </row>
    <row x14ac:dyDescent="0.25" r="395" customHeight="1" ht="18.75">
      <c r="A395" s="1"/>
      <c r="B395" s="150"/>
      <c r="C395" s="150"/>
      <c r="D395" s="151"/>
      <c r="E395" s="151"/>
      <c r="F395" s="152"/>
      <c r="G395" s="152"/>
      <c r="H395" s="152"/>
      <c r="I395" s="152"/>
      <c r="J395" s="152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1"/>
      <c r="X395" s="1"/>
      <c r="Y395" s="1"/>
    </row>
    <row x14ac:dyDescent="0.25" r="396" customHeight="1" ht="18.75">
      <c r="A396" s="1"/>
      <c r="B396" s="150"/>
      <c r="C396" s="150"/>
      <c r="D396" s="151"/>
      <c r="E396" s="151"/>
      <c r="F396" s="152"/>
      <c r="G396" s="152"/>
      <c r="H396" s="152"/>
      <c r="I396" s="152"/>
      <c r="J396" s="152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1"/>
      <c r="X396" s="1"/>
      <c r="Y396" s="1"/>
    </row>
    <row x14ac:dyDescent="0.25" r="397" customHeight="1" ht="18.75">
      <c r="A397" s="1"/>
      <c r="B397" s="153"/>
      <c r="C397" s="154"/>
      <c r="D397" s="151"/>
      <c r="E397" s="151"/>
      <c r="F397" s="155"/>
      <c r="G397" s="155"/>
      <c r="H397" s="155"/>
      <c r="I397" s="156"/>
      <c r="J397" s="155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1"/>
      <c r="X397" s="1"/>
      <c r="Y397" s="1"/>
    </row>
    <row x14ac:dyDescent="0.25" r="398" customHeight="1" ht="18.75">
      <c r="A398" s="1"/>
      <c r="B398" s="150"/>
      <c r="C398" s="150"/>
      <c r="D398" s="151"/>
      <c r="E398" s="151"/>
      <c r="F398" s="152"/>
      <c r="G398" s="152"/>
      <c r="H398" s="152"/>
      <c r="I398" s="152"/>
      <c r="J398" s="152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1"/>
      <c r="X398" s="1"/>
      <c r="Y398" s="1"/>
    </row>
    <row x14ac:dyDescent="0.25" r="399" customHeight="1" ht="18.75">
      <c r="A399" s="1"/>
      <c r="B399" s="150"/>
      <c r="C399" s="150"/>
      <c r="D399" s="151"/>
      <c r="E399" s="151"/>
      <c r="F399" s="152"/>
      <c r="G399" s="152"/>
      <c r="H399" s="152"/>
      <c r="I399" s="152"/>
      <c r="J399" s="152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1"/>
      <c r="X399" s="1"/>
      <c r="Y399" s="1"/>
    </row>
    <row x14ac:dyDescent="0.25" r="400" customHeight="1" ht="18.75">
      <c r="A400" s="1"/>
      <c r="B400" s="150"/>
      <c r="C400" s="150"/>
      <c r="D400" s="151"/>
      <c r="E400" s="151"/>
      <c r="F400" s="152"/>
      <c r="G400" s="152"/>
      <c r="H400" s="152"/>
      <c r="I400" s="152"/>
      <c r="J400" s="152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1"/>
      <c r="X400" s="1"/>
      <c r="Y400" s="1"/>
    </row>
    <row x14ac:dyDescent="0.25" r="401" customHeight="1" ht="18.75">
      <c r="A401" s="1"/>
      <c r="B401" s="150"/>
      <c r="C401" s="150"/>
      <c r="D401" s="151"/>
      <c r="E401" s="151"/>
      <c r="F401" s="152"/>
      <c r="G401" s="152"/>
      <c r="H401" s="152"/>
      <c r="I401" s="152"/>
      <c r="J401" s="152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1"/>
      <c r="X401" s="1"/>
      <c r="Y401" s="1"/>
    </row>
    <row x14ac:dyDescent="0.25" r="402" customHeight="1" ht="18.75">
      <c r="A402" s="1"/>
      <c r="B402" s="153"/>
      <c r="C402" s="154"/>
      <c r="D402" s="151"/>
      <c r="E402" s="151"/>
      <c r="F402" s="155"/>
      <c r="G402" s="155"/>
      <c r="H402" s="155"/>
      <c r="I402" s="156"/>
      <c r="J402" s="155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1"/>
      <c r="X402" s="1"/>
      <c r="Y402" s="1"/>
    </row>
    <row x14ac:dyDescent="0.25" r="403" customHeight="1" ht="18.75">
      <c r="A403" s="1"/>
      <c r="B403" s="150"/>
      <c r="C403" s="150"/>
      <c r="D403" s="151"/>
      <c r="E403" s="151"/>
      <c r="F403" s="152"/>
      <c r="G403" s="152"/>
      <c r="H403" s="152"/>
      <c r="I403" s="152"/>
      <c r="J403" s="152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1"/>
      <c r="X403" s="1"/>
      <c r="Y403" s="1"/>
    </row>
    <row x14ac:dyDescent="0.25" r="404" customHeight="1" ht="18.75">
      <c r="A404" s="1"/>
      <c r="B404" s="150"/>
      <c r="C404" s="150"/>
      <c r="D404" s="151"/>
      <c r="E404" s="151"/>
      <c r="F404" s="152"/>
      <c r="G404" s="152"/>
      <c r="H404" s="152"/>
      <c r="I404" s="152"/>
      <c r="J404" s="152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1"/>
      <c r="X404" s="1"/>
      <c r="Y404" s="1"/>
    </row>
    <row x14ac:dyDescent="0.25" r="405" customHeight="1" ht="18.75">
      <c r="A405" s="1"/>
      <c r="B405" s="153"/>
      <c r="C405" s="154"/>
      <c r="D405" s="151"/>
      <c r="E405" s="151"/>
      <c r="F405" s="155"/>
      <c r="G405" s="155"/>
      <c r="H405" s="155"/>
      <c r="I405" s="156"/>
      <c r="J405" s="155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1"/>
      <c r="X405" s="1"/>
      <c r="Y405" s="1"/>
    </row>
    <row x14ac:dyDescent="0.25" r="406" customHeight="1" ht="18.75">
      <c r="A406" s="1"/>
      <c r="B406" s="150"/>
      <c r="C406" s="150"/>
      <c r="D406" s="151"/>
      <c r="E406" s="151"/>
      <c r="F406" s="152"/>
      <c r="G406" s="152"/>
      <c r="H406" s="152"/>
      <c r="I406" s="152"/>
      <c r="J406" s="152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1"/>
      <c r="X406" s="1"/>
      <c r="Y406" s="1"/>
    </row>
    <row x14ac:dyDescent="0.25" r="407" customHeight="1" ht="18.75">
      <c r="A407" s="1"/>
      <c r="B407" s="150"/>
      <c r="C407" s="150"/>
      <c r="D407" s="151"/>
      <c r="E407" s="151"/>
      <c r="F407" s="152"/>
      <c r="G407" s="152"/>
      <c r="H407" s="152"/>
      <c r="I407" s="152"/>
      <c r="J407" s="152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1"/>
      <c r="X407" s="1"/>
      <c r="Y407" s="1"/>
    </row>
    <row x14ac:dyDescent="0.25" r="408" customHeight="1" ht="18.75">
      <c r="A408" s="1"/>
      <c r="B408" s="153"/>
      <c r="C408" s="154"/>
      <c r="D408" s="151"/>
      <c r="E408" s="151"/>
      <c r="F408" s="155"/>
      <c r="G408" s="155"/>
      <c r="H408" s="155"/>
      <c r="I408" s="156"/>
      <c r="J408" s="155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1"/>
      <c r="X408" s="1"/>
      <c r="Y408" s="1"/>
    </row>
    <row x14ac:dyDescent="0.25" r="409" customHeight="1" ht="18.75">
      <c r="A409" s="1"/>
      <c r="B409" s="150"/>
      <c r="C409" s="150"/>
      <c r="D409" s="151"/>
      <c r="E409" s="151"/>
      <c r="F409" s="152"/>
      <c r="G409" s="152"/>
      <c r="H409" s="152"/>
      <c r="I409" s="152"/>
      <c r="J409" s="152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1"/>
      <c r="X409" s="1"/>
      <c r="Y409" s="1"/>
    </row>
    <row x14ac:dyDescent="0.25" r="410" customHeight="1" ht="18.75">
      <c r="A410" s="1"/>
      <c r="B410" s="150"/>
      <c r="C410" s="150"/>
      <c r="D410" s="151"/>
      <c r="E410" s="151"/>
      <c r="F410" s="152"/>
      <c r="G410" s="152"/>
      <c r="H410" s="152"/>
      <c r="I410" s="152"/>
      <c r="J410" s="152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1"/>
      <c r="X410" s="1"/>
      <c r="Y410" s="1"/>
    </row>
    <row x14ac:dyDescent="0.25" r="411" customHeight="1" ht="18.75">
      <c r="A411" s="1"/>
      <c r="B411" s="153"/>
      <c r="C411" s="154"/>
      <c r="D411" s="151"/>
      <c r="E411" s="151"/>
      <c r="F411" s="155"/>
      <c r="G411" s="155"/>
      <c r="H411" s="155"/>
      <c r="I411" s="156"/>
      <c r="J411" s="155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1"/>
      <c r="X411" s="1"/>
      <c r="Y411" s="1"/>
    </row>
    <row x14ac:dyDescent="0.25" r="412" customHeight="1" ht="18.75">
      <c r="A412" s="1"/>
      <c r="B412" s="150"/>
      <c r="C412" s="150"/>
      <c r="D412" s="151"/>
      <c r="E412" s="151"/>
      <c r="F412" s="152"/>
      <c r="G412" s="152"/>
      <c r="H412" s="152"/>
      <c r="I412" s="152"/>
      <c r="J412" s="152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1"/>
      <c r="X412" s="1"/>
      <c r="Y412" s="1"/>
    </row>
    <row x14ac:dyDescent="0.25" r="413" customHeight="1" ht="18.75">
      <c r="A413" s="1"/>
      <c r="B413" s="150"/>
      <c r="C413" s="150"/>
      <c r="D413" s="151"/>
      <c r="E413" s="151"/>
      <c r="F413" s="152"/>
      <c r="G413" s="152"/>
      <c r="H413" s="152"/>
      <c r="I413" s="152"/>
      <c r="J413" s="152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1"/>
      <c r="X413" s="1"/>
      <c r="Y413" s="1"/>
    </row>
    <row x14ac:dyDescent="0.25" r="414" customHeight="1" ht="18.75">
      <c r="A414" s="1"/>
      <c r="B414" s="153"/>
      <c r="C414" s="154"/>
      <c r="D414" s="151"/>
      <c r="E414" s="151"/>
      <c r="F414" s="155"/>
      <c r="G414" s="155"/>
      <c r="H414" s="155"/>
      <c r="I414" s="156"/>
      <c r="J414" s="155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1"/>
      <c r="X414" s="1"/>
      <c r="Y414" s="1"/>
    </row>
    <row x14ac:dyDescent="0.25" r="415" customHeight="1" ht="18.75">
      <c r="A415" s="1"/>
      <c r="B415" s="150"/>
      <c r="C415" s="150"/>
      <c r="D415" s="151"/>
      <c r="E415" s="151"/>
      <c r="F415" s="152"/>
      <c r="G415" s="152"/>
      <c r="H415" s="152"/>
      <c r="I415" s="152"/>
      <c r="J415" s="152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1"/>
      <c r="X415" s="1"/>
      <c r="Y415" s="1"/>
    </row>
    <row x14ac:dyDescent="0.25" r="416" customHeight="1" ht="18.75">
      <c r="A416" s="1"/>
      <c r="B416" s="150"/>
      <c r="C416" s="150"/>
      <c r="D416" s="151"/>
      <c r="E416" s="151"/>
      <c r="F416" s="152"/>
      <c r="G416" s="152"/>
      <c r="H416" s="152"/>
      <c r="I416" s="152"/>
      <c r="J416" s="152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1"/>
      <c r="X416" s="1"/>
      <c r="Y416" s="1"/>
    </row>
    <row x14ac:dyDescent="0.25" r="417" customHeight="1" ht="18.75">
      <c r="A417" s="1"/>
      <c r="B417" s="153"/>
      <c r="C417" s="154"/>
      <c r="D417" s="151"/>
      <c r="E417" s="151"/>
      <c r="F417" s="155"/>
      <c r="G417" s="155"/>
      <c r="H417" s="155"/>
      <c r="I417" s="156"/>
      <c r="J417" s="155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1"/>
      <c r="X417" s="1"/>
      <c r="Y417" s="1"/>
    </row>
    <row x14ac:dyDescent="0.25" r="418" customHeight="1" ht="18.75">
      <c r="A418" s="1"/>
      <c r="B418" s="150"/>
      <c r="C418" s="150"/>
      <c r="D418" s="151"/>
      <c r="E418" s="151"/>
      <c r="F418" s="152"/>
      <c r="G418" s="152"/>
      <c r="H418" s="152"/>
      <c r="I418" s="152"/>
      <c r="J418" s="152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1"/>
      <c r="X418" s="1"/>
      <c r="Y418" s="1"/>
    </row>
    <row x14ac:dyDescent="0.25" r="419" customHeight="1" ht="18.75">
      <c r="A419" s="1"/>
      <c r="B419" s="150"/>
      <c r="C419" s="150"/>
      <c r="D419" s="151"/>
      <c r="E419" s="151"/>
      <c r="F419" s="152"/>
      <c r="G419" s="152"/>
      <c r="H419" s="152"/>
      <c r="I419" s="152"/>
      <c r="J419" s="152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1"/>
      <c r="X419" s="1"/>
      <c r="Y419" s="1"/>
    </row>
    <row x14ac:dyDescent="0.25" r="420" customHeight="1" ht="18.75">
      <c r="A420" s="1"/>
      <c r="B420" s="153"/>
      <c r="C420" s="154"/>
      <c r="D420" s="151"/>
      <c r="E420" s="151"/>
      <c r="F420" s="155"/>
      <c r="G420" s="155"/>
      <c r="H420" s="155"/>
      <c r="I420" s="156"/>
      <c r="J420" s="155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1"/>
      <c r="X420" s="1"/>
      <c r="Y420" s="1"/>
    </row>
    <row x14ac:dyDescent="0.25" r="421" customHeight="1" ht="18.75">
      <c r="A421" s="1"/>
      <c r="B421" s="150"/>
      <c r="C421" s="150"/>
      <c r="D421" s="151"/>
      <c r="E421" s="151"/>
      <c r="F421" s="152"/>
      <c r="G421" s="152"/>
      <c r="H421" s="152"/>
      <c r="I421" s="152"/>
      <c r="J421" s="152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1"/>
      <c r="X421" s="1"/>
      <c r="Y421" s="1"/>
    </row>
    <row x14ac:dyDescent="0.25" r="422" customHeight="1" ht="18.75">
      <c r="A422" s="1"/>
      <c r="B422" s="150"/>
      <c r="C422" s="150"/>
      <c r="D422" s="151"/>
      <c r="E422" s="151"/>
      <c r="F422" s="152"/>
      <c r="G422" s="152"/>
      <c r="H422" s="152"/>
      <c r="I422" s="152"/>
      <c r="J422" s="152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1"/>
      <c r="X422" s="1"/>
      <c r="Y422" s="1"/>
    </row>
    <row x14ac:dyDescent="0.25" r="423" customHeight="1" ht="18.75">
      <c r="A423" s="1"/>
      <c r="B423" s="153"/>
      <c r="C423" s="154"/>
      <c r="D423" s="151"/>
      <c r="E423" s="151"/>
      <c r="F423" s="155"/>
      <c r="G423" s="155"/>
      <c r="H423" s="155"/>
      <c r="I423" s="156"/>
      <c r="J423" s="155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1"/>
      <c r="X423" s="1"/>
      <c r="Y423" s="1"/>
    </row>
    <row x14ac:dyDescent="0.25" r="424" customHeight="1" ht="18.75">
      <c r="A424" s="1"/>
      <c r="B424" s="150"/>
      <c r="C424" s="150"/>
      <c r="D424" s="151"/>
      <c r="E424" s="151"/>
      <c r="F424" s="152"/>
      <c r="G424" s="152"/>
      <c r="H424" s="152"/>
      <c r="I424" s="152"/>
      <c r="J424" s="152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1"/>
      <c r="X424" s="1"/>
      <c r="Y424" s="1"/>
    </row>
    <row x14ac:dyDescent="0.25" r="425" customHeight="1" ht="18.75">
      <c r="A425" s="1"/>
      <c r="B425" s="150"/>
      <c r="C425" s="150"/>
      <c r="D425" s="151"/>
      <c r="E425" s="151"/>
      <c r="F425" s="152"/>
      <c r="G425" s="152"/>
      <c r="H425" s="152"/>
      <c r="I425" s="152"/>
      <c r="J425" s="152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1"/>
      <c r="X425" s="1"/>
      <c r="Y425" s="1"/>
    </row>
    <row x14ac:dyDescent="0.25" r="426" customHeight="1" ht="18.75">
      <c r="A426" s="1"/>
      <c r="B426" s="153"/>
      <c r="C426" s="154"/>
      <c r="D426" s="151"/>
      <c r="E426" s="151"/>
      <c r="F426" s="155"/>
      <c r="G426" s="155"/>
      <c r="H426" s="155"/>
      <c r="I426" s="156"/>
      <c r="J426" s="155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1"/>
      <c r="X426" s="1"/>
      <c r="Y426" s="1"/>
    </row>
    <row x14ac:dyDescent="0.25" r="427" customHeight="1" ht="18.75">
      <c r="A427" s="1"/>
      <c r="B427" s="150"/>
      <c r="C427" s="150"/>
      <c r="D427" s="151"/>
      <c r="E427" s="151"/>
      <c r="F427" s="152"/>
      <c r="G427" s="152"/>
      <c r="H427" s="152"/>
      <c r="I427" s="152"/>
      <c r="J427" s="152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1"/>
      <c r="X427" s="1"/>
      <c r="Y427" s="1"/>
    </row>
    <row x14ac:dyDescent="0.25" r="428" customHeight="1" ht="18.75">
      <c r="A428" s="1"/>
      <c r="B428" s="150"/>
      <c r="C428" s="150"/>
      <c r="D428" s="151"/>
      <c r="E428" s="151"/>
      <c r="F428" s="152"/>
      <c r="G428" s="152"/>
      <c r="H428" s="152"/>
      <c r="I428" s="152"/>
      <c r="J428" s="152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1"/>
      <c r="X428" s="1"/>
      <c r="Y428" s="1"/>
    </row>
    <row x14ac:dyDescent="0.25" r="429" customHeight="1" ht="18.75">
      <c r="A429" s="1"/>
      <c r="B429" s="153"/>
      <c r="C429" s="154"/>
      <c r="D429" s="151"/>
      <c r="E429" s="151"/>
      <c r="F429" s="155"/>
      <c r="G429" s="155"/>
      <c r="H429" s="155"/>
      <c r="I429" s="156"/>
      <c r="J429" s="155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1"/>
      <c r="X429" s="1"/>
      <c r="Y429" s="1"/>
    </row>
    <row x14ac:dyDescent="0.25" r="430" customHeight="1" ht="18.75">
      <c r="A430" s="1"/>
      <c r="B430" s="150"/>
      <c r="C430" s="150"/>
      <c r="D430" s="151"/>
      <c r="E430" s="151"/>
      <c r="F430" s="152"/>
      <c r="G430" s="152"/>
      <c r="H430" s="152"/>
      <c r="I430" s="152"/>
      <c r="J430" s="152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1"/>
      <c r="X430" s="1"/>
      <c r="Y430" s="1"/>
    </row>
    <row x14ac:dyDescent="0.25" r="431" customHeight="1" ht="18.75">
      <c r="A431" s="1"/>
      <c r="B431" s="150"/>
      <c r="C431" s="150"/>
      <c r="D431" s="151"/>
      <c r="E431" s="151"/>
      <c r="F431" s="152"/>
      <c r="G431" s="152"/>
      <c r="H431" s="152"/>
      <c r="I431" s="152"/>
      <c r="J431" s="152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1"/>
      <c r="X431" s="1"/>
      <c r="Y431" s="1"/>
    </row>
    <row x14ac:dyDescent="0.25" r="432" customHeight="1" ht="18.75">
      <c r="A432" s="1"/>
      <c r="B432" s="153"/>
      <c r="C432" s="154"/>
      <c r="D432" s="151"/>
      <c r="E432" s="151"/>
      <c r="F432" s="155"/>
      <c r="G432" s="155"/>
      <c r="H432" s="155"/>
      <c r="I432" s="156"/>
      <c r="J432" s="155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1"/>
      <c r="X432" s="1"/>
      <c r="Y432" s="1"/>
    </row>
    <row x14ac:dyDescent="0.25" r="433" customHeight="1" ht="18.75">
      <c r="A433" s="1"/>
      <c r="B433" s="150"/>
      <c r="C433" s="150"/>
      <c r="D433" s="151"/>
      <c r="E433" s="151"/>
      <c r="F433" s="152"/>
      <c r="G433" s="152"/>
      <c r="H433" s="152"/>
      <c r="I433" s="152"/>
      <c r="J433" s="152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1"/>
      <c r="X433" s="1"/>
      <c r="Y433" s="1"/>
    </row>
    <row x14ac:dyDescent="0.25" r="434" customHeight="1" ht="18.75">
      <c r="A434" s="1"/>
      <c r="B434" s="150"/>
      <c r="C434" s="150"/>
      <c r="D434" s="151"/>
      <c r="E434" s="151"/>
      <c r="F434" s="152"/>
      <c r="G434" s="152"/>
      <c r="H434" s="152"/>
      <c r="I434" s="152"/>
      <c r="J434" s="152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1"/>
      <c r="X434" s="1"/>
      <c r="Y434" s="1"/>
    </row>
    <row x14ac:dyDescent="0.25" r="435" customHeight="1" ht="18.75">
      <c r="A435" s="1"/>
      <c r="B435" s="153"/>
      <c r="C435" s="154"/>
      <c r="D435" s="151"/>
      <c r="E435" s="151"/>
      <c r="F435" s="155"/>
      <c r="G435" s="155"/>
      <c r="H435" s="155"/>
      <c r="I435" s="156"/>
      <c r="J435" s="155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1"/>
      <c r="X435" s="1"/>
      <c r="Y435" s="1"/>
    </row>
    <row x14ac:dyDescent="0.25" r="436" customHeight="1" ht="18.75">
      <c r="A436" s="1"/>
      <c r="B436" s="150"/>
      <c r="C436" s="150"/>
      <c r="D436" s="151"/>
      <c r="E436" s="151"/>
      <c r="F436" s="152"/>
      <c r="G436" s="152"/>
      <c r="H436" s="152"/>
      <c r="I436" s="152"/>
      <c r="J436" s="152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1"/>
      <c r="X436" s="1"/>
      <c r="Y436" s="1"/>
    </row>
    <row x14ac:dyDescent="0.25" r="437" customHeight="1" ht="18.75">
      <c r="A437" s="1"/>
      <c r="B437" s="150"/>
      <c r="C437" s="150"/>
      <c r="D437" s="151"/>
      <c r="E437" s="151"/>
      <c r="F437" s="152"/>
      <c r="G437" s="152"/>
      <c r="H437" s="152"/>
      <c r="I437" s="152"/>
      <c r="J437" s="152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1"/>
      <c r="X437" s="1"/>
      <c r="Y437" s="1"/>
    </row>
    <row x14ac:dyDescent="0.25" r="438" customHeight="1" ht="18.75">
      <c r="A438" s="1"/>
      <c r="B438" s="153"/>
      <c r="C438" s="154"/>
      <c r="D438" s="151"/>
      <c r="E438" s="151"/>
      <c r="F438" s="155"/>
      <c r="G438" s="155"/>
      <c r="H438" s="155"/>
      <c r="I438" s="156"/>
      <c r="J438" s="155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1"/>
      <c r="X438" s="1"/>
      <c r="Y438" s="1"/>
    </row>
    <row x14ac:dyDescent="0.25" r="439" customHeight="1" ht="18.75">
      <c r="A439" s="1"/>
      <c r="B439" s="150"/>
      <c r="C439" s="150"/>
      <c r="D439" s="151"/>
      <c r="E439" s="151"/>
      <c r="F439" s="152"/>
      <c r="G439" s="152"/>
      <c r="H439" s="152"/>
      <c r="I439" s="152"/>
      <c r="J439" s="152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1"/>
      <c r="X439" s="1"/>
      <c r="Y439" s="1"/>
    </row>
    <row x14ac:dyDescent="0.25" r="440" customHeight="1" ht="18.75">
      <c r="A440" s="1"/>
      <c r="B440" s="150"/>
      <c r="C440" s="150"/>
      <c r="D440" s="151"/>
      <c r="E440" s="151"/>
      <c r="F440" s="152"/>
      <c r="G440" s="152"/>
      <c r="H440" s="152"/>
      <c r="I440" s="152"/>
      <c r="J440" s="152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1"/>
      <c r="X440" s="1"/>
      <c r="Y440" s="1"/>
    </row>
    <row x14ac:dyDescent="0.25" r="441" customHeight="1" ht="18.75">
      <c r="A441" s="1"/>
      <c r="B441" s="153"/>
      <c r="C441" s="154"/>
      <c r="D441" s="151"/>
      <c r="E441" s="151"/>
      <c r="F441" s="155"/>
      <c r="G441" s="155"/>
      <c r="H441" s="155"/>
      <c r="I441" s="156"/>
      <c r="J441" s="155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1"/>
      <c r="X441" s="1"/>
      <c r="Y441" s="1"/>
    </row>
    <row x14ac:dyDescent="0.25" r="442" customHeight="1" ht="18.75">
      <c r="A442" s="1"/>
      <c r="B442" s="150"/>
      <c r="C442" s="150"/>
      <c r="D442" s="151"/>
      <c r="E442" s="151"/>
      <c r="F442" s="152"/>
      <c r="G442" s="152"/>
      <c r="H442" s="152"/>
      <c r="I442" s="152"/>
      <c r="J442" s="152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1"/>
      <c r="X442" s="1"/>
      <c r="Y442" s="1"/>
    </row>
    <row x14ac:dyDescent="0.25" r="443" customHeight="1" ht="18.75">
      <c r="A443" s="1"/>
      <c r="B443" s="150"/>
      <c r="C443" s="150"/>
      <c r="D443" s="151"/>
      <c r="E443" s="151"/>
      <c r="F443" s="152"/>
      <c r="G443" s="152"/>
      <c r="H443" s="152"/>
      <c r="I443" s="152"/>
      <c r="J443" s="152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1"/>
      <c r="X443" s="1"/>
      <c r="Y443" s="1"/>
    </row>
    <row x14ac:dyDescent="0.25" r="444" customHeight="1" ht="18.75">
      <c r="A444" s="1"/>
      <c r="B444" s="153"/>
      <c r="C444" s="154"/>
      <c r="D444" s="151"/>
      <c r="E444" s="151"/>
      <c r="F444" s="155"/>
      <c r="G444" s="155"/>
      <c r="H444" s="155"/>
      <c r="I444" s="156"/>
      <c r="J444" s="155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1"/>
      <c r="X444" s="1"/>
      <c r="Y444" s="1"/>
    </row>
    <row x14ac:dyDescent="0.25" r="445" customHeight="1" ht="18.75">
      <c r="A445" s="1"/>
      <c r="B445" s="150"/>
      <c r="C445" s="150"/>
      <c r="D445" s="151"/>
      <c r="E445" s="151"/>
      <c r="F445" s="152"/>
      <c r="G445" s="152"/>
      <c r="H445" s="152"/>
      <c r="I445" s="152"/>
      <c r="J445" s="152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1"/>
      <c r="X445" s="1"/>
      <c r="Y445" s="1"/>
    </row>
    <row x14ac:dyDescent="0.25" r="446" customHeight="1" ht="18.75">
      <c r="A446" s="1"/>
      <c r="B446" s="150"/>
      <c r="C446" s="150"/>
      <c r="D446" s="151"/>
      <c r="E446" s="151"/>
      <c r="F446" s="152"/>
      <c r="G446" s="152"/>
      <c r="H446" s="152"/>
      <c r="I446" s="152"/>
      <c r="J446" s="152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1"/>
      <c r="X446" s="1"/>
      <c r="Y446" s="1"/>
    </row>
    <row x14ac:dyDescent="0.25" r="447" customHeight="1" ht="18.75">
      <c r="A447" s="1"/>
      <c r="B447" s="153"/>
      <c r="C447" s="154"/>
      <c r="D447" s="151"/>
      <c r="E447" s="151"/>
      <c r="F447" s="155"/>
      <c r="G447" s="155"/>
      <c r="H447" s="155"/>
      <c r="I447" s="156"/>
      <c r="J447" s="155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1"/>
      <c r="X447" s="1"/>
      <c r="Y447" s="1"/>
    </row>
    <row x14ac:dyDescent="0.25" r="448" customHeight="1" ht="18.75">
      <c r="A448" s="1"/>
      <c r="B448" s="150"/>
      <c r="C448" s="150"/>
      <c r="D448" s="151"/>
      <c r="E448" s="151"/>
      <c r="F448" s="152"/>
      <c r="G448" s="152"/>
      <c r="H448" s="152"/>
      <c r="I448" s="152"/>
      <c r="J448" s="152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1"/>
      <c r="X448" s="1"/>
      <c r="Y448" s="1"/>
    </row>
    <row x14ac:dyDescent="0.25" r="449" customHeight="1" ht="18.75">
      <c r="A449" s="1"/>
      <c r="B449" s="150"/>
      <c r="C449" s="150"/>
      <c r="D449" s="151"/>
      <c r="E449" s="151"/>
      <c r="F449" s="152"/>
      <c r="G449" s="152"/>
      <c r="H449" s="152"/>
      <c r="I449" s="152"/>
      <c r="J449" s="152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1"/>
      <c r="X449" s="1"/>
      <c r="Y449" s="1"/>
    </row>
    <row x14ac:dyDescent="0.25" r="450" customHeight="1" ht="18.75">
      <c r="A450" s="1"/>
      <c r="B450" s="153"/>
      <c r="C450" s="154"/>
      <c r="D450" s="151"/>
      <c r="E450" s="151"/>
      <c r="F450" s="155"/>
      <c r="G450" s="155"/>
      <c r="H450" s="155"/>
      <c r="I450" s="156"/>
      <c r="J450" s="155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1"/>
      <c r="X450" s="1"/>
      <c r="Y450" s="1"/>
    </row>
    <row x14ac:dyDescent="0.25" r="451" customHeight="1" ht="18.75">
      <c r="A451" s="1"/>
      <c r="B451" s="150"/>
      <c r="C451" s="150"/>
      <c r="D451" s="151"/>
      <c r="E451" s="151"/>
      <c r="F451" s="152"/>
      <c r="G451" s="152"/>
      <c r="H451" s="152"/>
      <c r="I451" s="152"/>
      <c r="J451" s="152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1"/>
      <c r="X451" s="1"/>
      <c r="Y451" s="1"/>
    </row>
    <row x14ac:dyDescent="0.25" r="452" customHeight="1" ht="18.75">
      <c r="A452" s="1"/>
      <c r="B452" s="150"/>
      <c r="C452" s="150"/>
      <c r="D452" s="151"/>
      <c r="E452" s="151"/>
      <c r="F452" s="152"/>
      <c r="G452" s="152"/>
      <c r="H452" s="152"/>
      <c r="I452" s="152"/>
      <c r="J452" s="152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1"/>
      <c r="X452" s="1"/>
      <c r="Y452" s="1"/>
    </row>
    <row x14ac:dyDescent="0.25" r="453" customHeight="1" ht="18.75">
      <c r="A453" s="1"/>
      <c r="B453" s="153"/>
      <c r="C453" s="154"/>
      <c r="D453" s="151"/>
      <c r="E453" s="151"/>
      <c r="F453" s="155"/>
      <c r="G453" s="155"/>
      <c r="H453" s="155"/>
      <c r="I453" s="156"/>
      <c r="J453" s="155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1"/>
      <c r="X453" s="1"/>
      <c r="Y453" s="1"/>
    </row>
    <row x14ac:dyDescent="0.25" r="454" customHeight="1" ht="18.75">
      <c r="A454" s="1"/>
      <c r="B454" s="150"/>
      <c r="C454" s="150"/>
      <c r="D454" s="151"/>
      <c r="E454" s="151"/>
      <c r="F454" s="152"/>
      <c r="G454" s="152"/>
      <c r="H454" s="152"/>
      <c r="I454" s="152"/>
      <c r="J454" s="152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1"/>
      <c r="X454" s="1"/>
      <c r="Y454" s="1"/>
    </row>
    <row x14ac:dyDescent="0.25" r="455" customHeight="1" ht="18.75">
      <c r="A455" s="1"/>
      <c r="B455" s="150"/>
      <c r="C455" s="150"/>
      <c r="D455" s="151"/>
      <c r="E455" s="151"/>
      <c r="F455" s="152"/>
      <c r="G455" s="152"/>
      <c r="H455" s="152"/>
      <c r="I455" s="152"/>
      <c r="J455" s="152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1"/>
      <c r="X455" s="1"/>
      <c r="Y455" s="1"/>
    </row>
    <row x14ac:dyDescent="0.25" r="456" customHeight="1" ht="18.75">
      <c r="A456" s="1"/>
      <c r="B456" s="153"/>
      <c r="C456" s="154"/>
      <c r="D456" s="151"/>
      <c r="E456" s="151"/>
      <c r="F456" s="155"/>
      <c r="G456" s="155"/>
      <c r="H456" s="155"/>
      <c r="I456" s="156"/>
      <c r="J456" s="155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1"/>
      <c r="X456" s="1"/>
      <c r="Y456" s="1"/>
    </row>
    <row x14ac:dyDescent="0.25" r="457" customHeight="1" ht="18.75">
      <c r="A457" s="1"/>
      <c r="B457" s="150"/>
      <c r="C457" s="150"/>
      <c r="D457" s="151"/>
      <c r="E457" s="151"/>
      <c r="F457" s="152"/>
      <c r="G457" s="152"/>
      <c r="H457" s="152"/>
      <c r="I457" s="152"/>
      <c r="J457" s="152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1"/>
      <c r="X457" s="1"/>
      <c r="Y457" s="1"/>
    </row>
    <row x14ac:dyDescent="0.25" r="458" customHeight="1" ht="18.75">
      <c r="A458" s="1"/>
      <c r="B458" s="150"/>
      <c r="C458" s="150"/>
      <c r="D458" s="151"/>
      <c r="E458" s="151"/>
      <c r="F458" s="152"/>
      <c r="G458" s="152"/>
      <c r="H458" s="152"/>
      <c r="I458" s="152"/>
      <c r="J458" s="152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1"/>
      <c r="X458" s="1"/>
      <c r="Y458" s="1"/>
    </row>
    <row x14ac:dyDescent="0.25" r="459" customHeight="1" ht="18.75">
      <c r="A459" s="1"/>
      <c r="B459" s="153"/>
      <c r="C459" s="154"/>
      <c r="D459" s="151"/>
      <c r="E459" s="151"/>
      <c r="F459" s="155"/>
      <c r="G459" s="155"/>
      <c r="H459" s="155"/>
      <c r="I459" s="156"/>
      <c r="J459" s="155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1"/>
      <c r="X459" s="1"/>
      <c r="Y459" s="1"/>
    </row>
    <row x14ac:dyDescent="0.25" r="460" customHeight="1" ht="18.75">
      <c r="A460" s="1"/>
      <c r="B460" s="150"/>
      <c r="C460" s="150"/>
      <c r="D460" s="151"/>
      <c r="E460" s="151"/>
      <c r="F460" s="152"/>
      <c r="G460" s="152"/>
      <c r="H460" s="152"/>
      <c r="I460" s="152"/>
      <c r="J460" s="152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1"/>
      <c r="X460" s="1"/>
      <c r="Y460" s="1"/>
    </row>
    <row x14ac:dyDescent="0.25" r="461" customHeight="1" ht="18.75">
      <c r="A461" s="1"/>
      <c r="B461" s="150"/>
      <c r="C461" s="150"/>
      <c r="D461" s="151"/>
      <c r="E461" s="151"/>
      <c r="F461" s="152"/>
      <c r="G461" s="152"/>
      <c r="H461" s="152"/>
      <c r="I461" s="152"/>
      <c r="J461" s="152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1"/>
      <c r="X461" s="1"/>
      <c r="Y461" s="1"/>
    </row>
    <row x14ac:dyDescent="0.25" r="462" customHeight="1" ht="18.75">
      <c r="A462" s="1"/>
      <c r="B462" s="153"/>
      <c r="C462" s="154"/>
      <c r="D462" s="151"/>
      <c r="E462" s="151"/>
      <c r="F462" s="155"/>
      <c r="G462" s="155"/>
      <c r="H462" s="155"/>
      <c r="I462" s="156"/>
      <c r="J462" s="155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1"/>
      <c r="X462" s="1"/>
      <c r="Y462" s="1"/>
    </row>
    <row x14ac:dyDescent="0.25" r="463" customHeight="1" ht="18.75">
      <c r="A463" s="1"/>
      <c r="B463" s="150"/>
      <c r="C463" s="150"/>
      <c r="D463" s="151"/>
      <c r="E463" s="151"/>
      <c r="F463" s="152"/>
      <c r="G463" s="152"/>
      <c r="H463" s="152"/>
      <c r="I463" s="152"/>
      <c r="J463" s="152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1"/>
      <c r="X463" s="1"/>
      <c r="Y463" s="1"/>
    </row>
    <row x14ac:dyDescent="0.25" r="464" customHeight="1" ht="18.75">
      <c r="A464" s="1"/>
      <c r="B464" s="150"/>
      <c r="C464" s="150"/>
      <c r="D464" s="151"/>
      <c r="E464" s="151"/>
      <c r="F464" s="152"/>
      <c r="G464" s="152"/>
      <c r="H464" s="152"/>
      <c r="I464" s="152"/>
      <c r="J464" s="152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1"/>
      <c r="X464" s="1"/>
      <c r="Y464" s="1"/>
    </row>
    <row x14ac:dyDescent="0.25" r="465" customHeight="1" ht="18.75">
      <c r="A465" s="1"/>
      <c r="B465" s="153"/>
      <c r="C465" s="154"/>
      <c r="D465" s="151"/>
      <c r="E465" s="151"/>
      <c r="F465" s="155"/>
      <c r="G465" s="155"/>
      <c r="H465" s="155"/>
      <c r="I465" s="156"/>
      <c r="J465" s="155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1"/>
      <c r="X465" s="1"/>
      <c r="Y465" s="1"/>
    </row>
    <row x14ac:dyDescent="0.25" r="466" customHeight="1" ht="18.75">
      <c r="A466" s="1"/>
      <c r="B466" s="150"/>
      <c r="C466" s="150"/>
      <c r="D466" s="151"/>
      <c r="E466" s="151"/>
      <c r="F466" s="152"/>
      <c r="G466" s="152"/>
      <c r="H466" s="152"/>
      <c r="I466" s="152"/>
      <c r="J466" s="152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1"/>
      <c r="X466" s="1"/>
      <c r="Y466" s="1"/>
    </row>
    <row x14ac:dyDescent="0.25" r="467" customHeight="1" ht="18.75">
      <c r="A467" s="1"/>
      <c r="B467" s="150"/>
      <c r="C467" s="150"/>
      <c r="D467" s="151"/>
      <c r="E467" s="151"/>
      <c r="F467" s="152"/>
      <c r="G467" s="152"/>
      <c r="H467" s="152"/>
      <c r="I467" s="152"/>
      <c r="J467" s="152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1"/>
      <c r="X467" s="1"/>
      <c r="Y467" s="1"/>
    </row>
    <row x14ac:dyDescent="0.25" r="468" customHeight="1" ht="18.75">
      <c r="A468" s="1"/>
      <c r="B468" s="153"/>
      <c r="C468" s="154"/>
      <c r="D468" s="151"/>
      <c r="E468" s="151"/>
      <c r="F468" s="155"/>
      <c r="G468" s="155"/>
      <c r="H468" s="155"/>
      <c r="I468" s="156"/>
      <c r="J468" s="155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1"/>
      <c r="X468" s="1"/>
      <c r="Y468" s="1"/>
    </row>
    <row x14ac:dyDescent="0.25" r="469" customHeight="1" ht="18.75">
      <c r="A469" s="1"/>
      <c r="B469" s="150"/>
      <c r="C469" s="150"/>
      <c r="D469" s="151"/>
      <c r="E469" s="151"/>
      <c r="F469" s="152"/>
      <c r="G469" s="152"/>
      <c r="H469" s="152"/>
      <c r="I469" s="152"/>
      <c r="J469" s="152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1"/>
      <c r="X469" s="1"/>
      <c r="Y469" s="1"/>
    </row>
    <row x14ac:dyDescent="0.25" r="470" customHeight="1" ht="18.75">
      <c r="A470" s="1"/>
      <c r="B470" s="150"/>
      <c r="C470" s="150"/>
      <c r="D470" s="151"/>
      <c r="E470" s="151"/>
      <c r="F470" s="152"/>
      <c r="G470" s="152"/>
      <c r="H470" s="152"/>
      <c r="I470" s="152"/>
      <c r="J470" s="152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1"/>
      <c r="X470" s="1"/>
      <c r="Y470" s="1"/>
    </row>
    <row x14ac:dyDescent="0.25" r="471" customHeight="1" ht="18.75">
      <c r="A471" s="1"/>
      <c r="B471" s="153"/>
      <c r="C471" s="154"/>
      <c r="D471" s="151"/>
      <c r="E471" s="151"/>
      <c r="F471" s="155"/>
      <c r="G471" s="155"/>
      <c r="H471" s="155"/>
      <c r="I471" s="156"/>
      <c r="J471" s="155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1"/>
      <c r="X471" s="1"/>
      <c r="Y471" s="1"/>
    </row>
    <row x14ac:dyDescent="0.25" r="472" customHeight="1" ht="18.75">
      <c r="A472" s="1"/>
      <c r="B472" s="150"/>
      <c r="C472" s="150"/>
      <c r="D472" s="151"/>
      <c r="E472" s="151"/>
      <c r="F472" s="152"/>
      <c r="G472" s="152"/>
      <c r="H472" s="152"/>
      <c r="I472" s="152"/>
      <c r="J472" s="152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1"/>
      <c r="X472" s="1"/>
      <c r="Y472" s="1"/>
    </row>
    <row x14ac:dyDescent="0.25" r="473" customHeight="1" ht="18.75">
      <c r="A473" s="1"/>
      <c r="B473" s="150"/>
      <c r="C473" s="150"/>
      <c r="D473" s="151"/>
      <c r="E473" s="151"/>
      <c r="F473" s="152"/>
      <c r="G473" s="152"/>
      <c r="H473" s="152"/>
      <c r="I473" s="152"/>
      <c r="J473" s="152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1"/>
      <c r="X473" s="1"/>
      <c r="Y473" s="1"/>
    </row>
    <row x14ac:dyDescent="0.25" r="474" customHeight="1" ht="18.75">
      <c r="A474" s="1"/>
      <c r="B474" s="153"/>
      <c r="C474" s="154"/>
      <c r="D474" s="151"/>
      <c r="E474" s="151"/>
      <c r="F474" s="155"/>
      <c r="G474" s="155"/>
      <c r="H474" s="155"/>
      <c r="I474" s="156"/>
      <c r="J474" s="155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1"/>
      <c r="X474" s="1"/>
      <c r="Y474" s="1"/>
    </row>
    <row x14ac:dyDescent="0.25" r="475" customHeight="1" ht="18.75">
      <c r="A475" s="1"/>
      <c r="B475" s="150"/>
      <c r="C475" s="150"/>
      <c r="D475" s="151"/>
      <c r="E475" s="151"/>
      <c r="F475" s="152"/>
      <c r="G475" s="152"/>
      <c r="H475" s="152"/>
      <c r="I475" s="152"/>
      <c r="J475" s="152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1"/>
      <c r="X475" s="1"/>
      <c r="Y475" s="1"/>
    </row>
    <row x14ac:dyDescent="0.25" r="476" customHeight="1" ht="18.75">
      <c r="A476" s="1"/>
      <c r="B476" s="150"/>
      <c r="C476" s="150"/>
      <c r="D476" s="151"/>
      <c r="E476" s="151"/>
      <c r="F476" s="152"/>
      <c r="G476" s="152"/>
      <c r="H476" s="152"/>
      <c r="I476" s="152"/>
      <c r="J476" s="152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1"/>
      <c r="X476" s="1"/>
      <c r="Y476" s="1"/>
    </row>
    <row x14ac:dyDescent="0.25" r="477" customHeight="1" ht="18.75">
      <c r="A477" s="1"/>
      <c r="B477" s="153"/>
      <c r="C477" s="154"/>
      <c r="D477" s="151"/>
      <c r="E477" s="151"/>
      <c r="F477" s="155"/>
      <c r="G477" s="155"/>
      <c r="H477" s="155"/>
      <c r="I477" s="156"/>
      <c r="J477" s="155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1"/>
      <c r="X477" s="1"/>
      <c r="Y477" s="1"/>
    </row>
    <row x14ac:dyDescent="0.25" r="478" customHeight="1" ht="18.75">
      <c r="A478" s="1"/>
      <c r="B478" s="150"/>
      <c r="C478" s="150"/>
      <c r="D478" s="151"/>
      <c r="E478" s="151"/>
      <c r="F478" s="152"/>
      <c r="G478" s="152"/>
      <c r="H478" s="152"/>
      <c r="I478" s="152"/>
      <c r="J478" s="152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1"/>
      <c r="X478" s="1"/>
      <c r="Y478" s="1"/>
    </row>
    <row x14ac:dyDescent="0.25" r="479" customHeight="1" ht="18.75">
      <c r="A479" s="1"/>
      <c r="B479" s="150"/>
      <c r="C479" s="150"/>
      <c r="D479" s="151"/>
      <c r="E479" s="151"/>
      <c r="F479" s="152"/>
      <c r="G479" s="152"/>
      <c r="H479" s="152"/>
      <c r="I479" s="152"/>
      <c r="J479" s="152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1"/>
      <c r="X479" s="1"/>
      <c r="Y479" s="1"/>
    </row>
    <row x14ac:dyDescent="0.25" r="480" customHeight="1" ht="18.75">
      <c r="A480" s="1"/>
      <c r="B480" s="153"/>
      <c r="C480" s="154"/>
      <c r="D480" s="151"/>
      <c r="E480" s="151"/>
      <c r="F480" s="155"/>
      <c r="G480" s="155"/>
      <c r="H480" s="155"/>
      <c r="I480" s="156"/>
      <c r="J480" s="155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1"/>
      <c r="X480" s="1"/>
      <c r="Y480" s="1"/>
    </row>
    <row x14ac:dyDescent="0.25" r="481" customHeight="1" ht="18.75">
      <c r="A481" s="1"/>
      <c r="B481" s="150"/>
      <c r="C481" s="150"/>
      <c r="D481" s="151"/>
      <c r="E481" s="151"/>
      <c r="F481" s="152"/>
      <c r="G481" s="152"/>
      <c r="H481" s="152"/>
      <c r="I481" s="152"/>
      <c r="J481" s="152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1"/>
      <c r="X481" s="1"/>
      <c r="Y481" s="1"/>
    </row>
    <row x14ac:dyDescent="0.25" r="482" customHeight="1" ht="18.75">
      <c r="A482" s="1"/>
      <c r="B482" s="150"/>
      <c r="C482" s="150"/>
      <c r="D482" s="151"/>
      <c r="E482" s="151"/>
      <c r="F482" s="152"/>
      <c r="G482" s="152"/>
      <c r="H482" s="152"/>
      <c r="I482" s="152"/>
      <c r="J482" s="152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1"/>
      <c r="X482" s="1"/>
      <c r="Y482" s="1"/>
    </row>
    <row x14ac:dyDescent="0.25" r="483" customHeight="1" ht="18.75">
      <c r="A483" s="1"/>
      <c r="B483" s="153"/>
      <c r="C483" s="154"/>
      <c r="D483" s="151"/>
      <c r="E483" s="151"/>
      <c r="F483" s="155"/>
      <c r="G483" s="155"/>
      <c r="H483" s="155"/>
      <c r="I483" s="156"/>
      <c r="J483" s="155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1"/>
      <c r="X483" s="1"/>
      <c r="Y483" s="1"/>
    </row>
    <row x14ac:dyDescent="0.25" r="484" customHeight="1" ht="18.75">
      <c r="A484" s="1"/>
      <c r="B484" s="150"/>
      <c r="C484" s="150"/>
      <c r="D484" s="151"/>
      <c r="E484" s="151"/>
      <c r="F484" s="152"/>
      <c r="G484" s="152"/>
      <c r="H484" s="152"/>
      <c r="I484" s="152"/>
      <c r="J484" s="152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1"/>
      <c r="X484" s="1"/>
      <c r="Y484" s="1"/>
    </row>
    <row x14ac:dyDescent="0.25" r="485" customHeight="1" ht="18.75">
      <c r="A485" s="1"/>
      <c r="B485" s="150"/>
      <c r="C485" s="150"/>
      <c r="D485" s="151"/>
      <c r="E485" s="151"/>
      <c r="F485" s="152"/>
      <c r="G485" s="152"/>
      <c r="H485" s="152"/>
      <c r="I485" s="152"/>
      <c r="J485" s="152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1"/>
      <c r="X485" s="1"/>
      <c r="Y485" s="1"/>
    </row>
    <row x14ac:dyDescent="0.25" r="486" customHeight="1" ht="18.75">
      <c r="A486" s="1"/>
      <c r="B486" s="153"/>
      <c r="C486" s="154"/>
      <c r="D486" s="151"/>
      <c r="E486" s="151"/>
      <c r="F486" s="155"/>
      <c r="G486" s="155"/>
      <c r="H486" s="155"/>
      <c r="I486" s="156"/>
      <c r="J486" s="155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1"/>
      <c r="X486" s="1"/>
      <c r="Y486" s="1"/>
    </row>
    <row x14ac:dyDescent="0.25" r="487" customHeight="1" ht="18.75">
      <c r="A487" s="1"/>
      <c r="B487" s="150"/>
      <c r="C487" s="150"/>
      <c r="D487" s="151"/>
      <c r="E487" s="151"/>
      <c r="F487" s="152"/>
      <c r="G487" s="152"/>
      <c r="H487" s="152"/>
      <c r="I487" s="152"/>
      <c r="J487" s="152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1"/>
      <c r="X487" s="1"/>
      <c r="Y487" s="1"/>
    </row>
    <row x14ac:dyDescent="0.25" r="488" customHeight="1" ht="18.75">
      <c r="A488" s="1"/>
      <c r="B488" s="150"/>
      <c r="C488" s="150"/>
      <c r="D488" s="151"/>
      <c r="E488" s="151"/>
      <c r="F488" s="152"/>
      <c r="G488" s="152"/>
      <c r="H488" s="152"/>
      <c r="I488" s="152"/>
      <c r="J488" s="152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1"/>
      <c r="X488" s="1"/>
      <c r="Y488" s="1"/>
    </row>
    <row x14ac:dyDescent="0.25" r="489" customHeight="1" ht="18.75">
      <c r="A489" s="1"/>
      <c r="B489" s="153"/>
      <c r="C489" s="154"/>
      <c r="D489" s="151"/>
      <c r="E489" s="151"/>
      <c r="F489" s="155"/>
      <c r="G489" s="155"/>
      <c r="H489" s="155"/>
      <c r="I489" s="156"/>
      <c r="J489" s="155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1"/>
      <c r="X489" s="1"/>
      <c r="Y489" s="1"/>
    </row>
    <row x14ac:dyDescent="0.25" r="490" customHeight="1" ht="18.75">
      <c r="A490" s="1"/>
      <c r="B490" s="150"/>
      <c r="C490" s="150"/>
      <c r="D490" s="151"/>
      <c r="E490" s="151"/>
      <c r="F490" s="152"/>
      <c r="G490" s="152"/>
      <c r="H490" s="152"/>
      <c r="I490" s="152"/>
      <c r="J490" s="152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1"/>
      <c r="X490" s="1"/>
      <c r="Y490" s="1"/>
    </row>
    <row x14ac:dyDescent="0.25" r="491" customHeight="1" ht="18.75">
      <c r="A491" s="1"/>
      <c r="B491" s="150"/>
      <c r="C491" s="150"/>
      <c r="D491" s="151"/>
      <c r="E491" s="151"/>
      <c r="F491" s="152"/>
      <c r="G491" s="152"/>
      <c r="H491" s="152"/>
      <c r="I491" s="152"/>
      <c r="J491" s="152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1"/>
      <c r="X491" s="1"/>
      <c r="Y491" s="1"/>
    </row>
    <row x14ac:dyDescent="0.25" r="492" customHeight="1" ht="18.75">
      <c r="A492" s="1"/>
      <c r="B492" s="153"/>
      <c r="C492" s="154"/>
      <c r="D492" s="151"/>
      <c r="E492" s="151"/>
      <c r="F492" s="155"/>
      <c r="G492" s="155"/>
      <c r="H492" s="155"/>
      <c r="I492" s="156"/>
      <c r="J492" s="155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1"/>
      <c r="X492" s="1"/>
      <c r="Y492" s="1"/>
    </row>
    <row x14ac:dyDescent="0.25" r="493" customHeight="1" ht="18.75">
      <c r="A493" s="1"/>
      <c r="B493" s="150"/>
      <c r="C493" s="150"/>
      <c r="D493" s="151"/>
      <c r="E493" s="151"/>
      <c r="F493" s="152"/>
      <c r="G493" s="152"/>
      <c r="H493" s="152"/>
      <c r="I493" s="152"/>
      <c r="J493" s="152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1"/>
      <c r="X493" s="1"/>
      <c r="Y493" s="1"/>
    </row>
    <row x14ac:dyDescent="0.25" r="494" customHeight="1" ht="18.75">
      <c r="A494" s="1"/>
      <c r="B494" s="150"/>
      <c r="C494" s="150"/>
      <c r="D494" s="151"/>
      <c r="E494" s="151"/>
      <c r="F494" s="152"/>
      <c r="G494" s="152"/>
      <c r="H494" s="152"/>
      <c r="I494" s="152"/>
      <c r="J494" s="152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1"/>
      <c r="X494" s="1"/>
      <c r="Y494" s="1"/>
    </row>
    <row x14ac:dyDescent="0.25" r="495" customHeight="1" ht="18.75">
      <c r="A495" s="1"/>
      <c r="B495" s="153"/>
      <c r="C495" s="154"/>
      <c r="D495" s="151"/>
      <c r="E495" s="151"/>
      <c r="F495" s="155"/>
      <c r="G495" s="155"/>
      <c r="H495" s="155"/>
      <c r="I495" s="156"/>
      <c r="J495" s="155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1"/>
      <c r="X495" s="1"/>
      <c r="Y495" s="1"/>
    </row>
    <row x14ac:dyDescent="0.25" r="496" customHeight="1" ht="18.75">
      <c r="A496" s="1"/>
      <c r="B496" s="150"/>
      <c r="C496" s="150"/>
      <c r="D496" s="151"/>
      <c r="E496" s="151"/>
      <c r="F496" s="152"/>
      <c r="G496" s="152"/>
      <c r="H496" s="152"/>
      <c r="I496" s="152"/>
      <c r="J496" s="152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1"/>
      <c r="X496" s="1"/>
      <c r="Y496" s="1"/>
    </row>
    <row x14ac:dyDescent="0.25" r="497" customHeight="1" ht="18.75">
      <c r="A497" s="1"/>
      <c r="B497" s="150"/>
      <c r="C497" s="150"/>
      <c r="D497" s="151"/>
      <c r="E497" s="151"/>
      <c r="F497" s="152"/>
      <c r="G497" s="152"/>
      <c r="H497" s="152"/>
      <c r="I497" s="152"/>
      <c r="J497" s="152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1"/>
      <c r="X497" s="1"/>
      <c r="Y497" s="1"/>
    </row>
    <row x14ac:dyDescent="0.25" r="498" customHeight="1" ht="18.75">
      <c r="A498" s="1"/>
      <c r="B498" s="153"/>
      <c r="C498" s="154"/>
      <c r="D498" s="151"/>
      <c r="E498" s="151"/>
      <c r="F498" s="155"/>
      <c r="G498" s="155"/>
      <c r="H498" s="155"/>
      <c r="I498" s="156"/>
      <c r="J498" s="155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1"/>
      <c r="X498" s="1"/>
      <c r="Y498" s="1"/>
    </row>
    <row x14ac:dyDescent="0.25" r="499" customHeight="1" ht="18.75">
      <c r="A499" s="1"/>
      <c r="B499" s="150"/>
      <c r="C499" s="150"/>
      <c r="D499" s="151"/>
      <c r="E499" s="151"/>
      <c r="F499" s="152"/>
      <c r="G499" s="152"/>
      <c r="H499" s="152"/>
      <c r="I499" s="152"/>
      <c r="J499" s="152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1"/>
      <c r="X499" s="1"/>
      <c r="Y499" s="1"/>
    </row>
    <row x14ac:dyDescent="0.25" r="500" customHeight="1" ht="18.75">
      <c r="A500" s="1"/>
      <c r="B500" s="150"/>
      <c r="C500" s="150"/>
      <c r="D500" s="151"/>
      <c r="E500" s="151"/>
      <c r="F500" s="152"/>
      <c r="G500" s="152"/>
      <c r="H500" s="152"/>
      <c r="I500" s="152"/>
      <c r="J500" s="152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1"/>
      <c r="X500" s="1"/>
      <c r="Y500" s="1"/>
    </row>
    <row x14ac:dyDescent="0.25" r="501" customHeight="1" ht="18.75">
      <c r="A501" s="1"/>
      <c r="B501" s="153"/>
      <c r="C501" s="154"/>
      <c r="D501" s="151"/>
      <c r="E501" s="151"/>
      <c r="F501" s="155"/>
      <c r="G501" s="155"/>
      <c r="H501" s="155"/>
      <c r="I501" s="156"/>
      <c r="J501" s="155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1"/>
      <c r="X501" s="1"/>
      <c r="Y501" s="1"/>
    </row>
    <row x14ac:dyDescent="0.25" r="502" customHeight="1" ht="18.75">
      <c r="A502" s="1"/>
      <c r="B502" s="150"/>
      <c r="C502" s="150"/>
      <c r="D502" s="151"/>
      <c r="E502" s="151"/>
      <c r="F502" s="152"/>
      <c r="G502" s="152"/>
      <c r="H502" s="152"/>
      <c r="I502" s="152"/>
      <c r="J502" s="152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1"/>
      <c r="X502" s="1"/>
      <c r="Y502" s="1"/>
    </row>
    <row x14ac:dyDescent="0.25" r="503" customHeight="1" ht="18.75">
      <c r="A503" s="1"/>
      <c r="B503" s="150"/>
      <c r="C503" s="150"/>
      <c r="D503" s="151"/>
      <c r="E503" s="151"/>
      <c r="F503" s="152"/>
      <c r="G503" s="152"/>
      <c r="H503" s="152"/>
      <c r="I503" s="152"/>
      <c r="J503" s="152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1"/>
      <c r="X503" s="1"/>
      <c r="Y503" s="1"/>
    </row>
    <row x14ac:dyDescent="0.25" r="504" customHeight="1" ht="18.75">
      <c r="A504" s="1"/>
      <c r="B504" s="153"/>
      <c r="C504" s="154"/>
      <c r="D504" s="151"/>
      <c r="E504" s="151"/>
      <c r="F504" s="155"/>
      <c r="G504" s="155"/>
      <c r="H504" s="155"/>
      <c r="I504" s="156"/>
      <c r="J504" s="155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1"/>
      <c r="X504" s="1"/>
      <c r="Y504" s="1"/>
    </row>
    <row x14ac:dyDescent="0.25" r="505" customHeight="1" ht="18.75">
      <c r="A505" s="1"/>
      <c r="B505" s="150"/>
      <c r="C505" s="150"/>
      <c r="D505" s="151"/>
      <c r="E505" s="151"/>
      <c r="F505" s="152"/>
      <c r="G505" s="152"/>
      <c r="H505" s="152"/>
      <c r="I505" s="152"/>
      <c r="J505" s="152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1"/>
      <c r="X505" s="1"/>
      <c r="Y505" s="1"/>
    </row>
    <row x14ac:dyDescent="0.25" r="506" customHeight="1" ht="18.75">
      <c r="A506" s="1"/>
      <c r="B506" s="150"/>
      <c r="C506" s="150"/>
      <c r="D506" s="151"/>
      <c r="E506" s="151"/>
      <c r="F506" s="152"/>
      <c r="G506" s="152"/>
      <c r="H506" s="152"/>
      <c r="I506" s="152"/>
      <c r="J506" s="152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1"/>
      <c r="X506" s="1"/>
      <c r="Y506" s="1"/>
    </row>
    <row x14ac:dyDescent="0.25" r="507" customHeight="1" ht="18.75">
      <c r="A507" s="1"/>
      <c r="B507" s="153"/>
      <c r="C507" s="154"/>
      <c r="D507" s="151"/>
      <c r="E507" s="151"/>
      <c r="F507" s="155"/>
      <c r="G507" s="155"/>
      <c r="H507" s="155"/>
      <c r="I507" s="156"/>
      <c r="J507" s="155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1"/>
      <c r="X507" s="1"/>
      <c r="Y507" s="1"/>
    </row>
    <row x14ac:dyDescent="0.25" r="508" customHeight="1" ht="18.75">
      <c r="A508" s="1"/>
      <c r="B508" s="150"/>
      <c r="C508" s="150"/>
      <c r="D508" s="151"/>
      <c r="E508" s="151"/>
      <c r="F508" s="152"/>
      <c r="G508" s="152"/>
      <c r="H508" s="152"/>
      <c r="I508" s="152"/>
      <c r="J508" s="152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1"/>
      <c r="X508" s="1"/>
      <c r="Y508" s="1"/>
    </row>
    <row x14ac:dyDescent="0.25" r="509" customHeight="1" ht="18.75">
      <c r="A509" s="1"/>
      <c r="B509" s="150"/>
      <c r="C509" s="150"/>
      <c r="D509" s="151"/>
      <c r="E509" s="151"/>
      <c r="F509" s="152"/>
      <c r="G509" s="152"/>
      <c r="H509" s="152"/>
      <c r="I509" s="152"/>
      <c r="J509" s="152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1"/>
      <c r="X509" s="1"/>
      <c r="Y509" s="1"/>
    </row>
    <row x14ac:dyDescent="0.25" r="510" customHeight="1" ht="18.75">
      <c r="A510" s="1"/>
      <c r="B510" s="153"/>
      <c r="C510" s="154"/>
      <c r="D510" s="151"/>
      <c r="E510" s="151"/>
      <c r="F510" s="155"/>
      <c r="G510" s="155"/>
      <c r="H510" s="155"/>
      <c r="I510" s="156"/>
      <c r="J510" s="155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1"/>
      <c r="X510" s="1"/>
      <c r="Y510" s="1"/>
    </row>
    <row x14ac:dyDescent="0.25" r="511" customHeight="1" ht="18.75">
      <c r="A511" s="1"/>
      <c r="B511" s="150"/>
      <c r="C511" s="150"/>
      <c r="D511" s="151"/>
      <c r="E511" s="151"/>
      <c r="F511" s="152"/>
      <c r="G511" s="152"/>
      <c r="H511" s="152"/>
      <c r="I511" s="152"/>
      <c r="J511" s="152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1"/>
      <c r="X511" s="1"/>
      <c r="Y511" s="1"/>
    </row>
    <row x14ac:dyDescent="0.25" r="512" customHeight="1" ht="18.75">
      <c r="A512" s="1"/>
      <c r="B512" s="150"/>
      <c r="C512" s="150"/>
      <c r="D512" s="151"/>
      <c r="E512" s="151"/>
      <c r="F512" s="152"/>
      <c r="G512" s="152"/>
      <c r="H512" s="152"/>
      <c r="I512" s="152"/>
      <c r="J512" s="152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1"/>
      <c r="X512" s="1"/>
      <c r="Y512" s="1"/>
    </row>
    <row x14ac:dyDescent="0.25" r="513" customHeight="1" ht="18.75">
      <c r="A513" s="1"/>
      <c r="B513" s="153"/>
      <c r="C513" s="154"/>
      <c r="D513" s="151"/>
      <c r="E513" s="151"/>
      <c r="F513" s="155"/>
      <c r="G513" s="155"/>
      <c r="H513" s="155"/>
      <c r="I513" s="156"/>
      <c r="J513" s="155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1"/>
      <c r="X513" s="1"/>
      <c r="Y513" s="1"/>
    </row>
    <row x14ac:dyDescent="0.25" r="514" customHeight="1" ht="18.75">
      <c r="A514" s="1"/>
      <c r="B514" s="150"/>
      <c r="C514" s="150"/>
      <c r="D514" s="151"/>
      <c r="E514" s="151"/>
      <c r="F514" s="152"/>
      <c r="G514" s="152"/>
      <c r="H514" s="152"/>
      <c r="I514" s="152"/>
      <c r="J514" s="152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1"/>
      <c r="X514" s="1"/>
      <c r="Y514" s="1"/>
    </row>
    <row x14ac:dyDescent="0.25" r="515" customHeight="1" ht="18.75">
      <c r="A515" s="1"/>
      <c r="B515" s="150"/>
      <c r="C515" s="150"/>
      <c r="D515" s="151"/>
      <c r="E515" s="151"/>
      <c r="F515" s="152"/>
      <c r="G515" s="152"/>
      <c r="H515" s="152"/>
      <c r="I515" s="152"/>
      <c r="J515" s="152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1"/>
      <c r="X515" s="1"/>
      <c r="Y515" s="1"/>
    </row>
    <row x14ac:dyDescent="0.25" r="516" customHeight="1" ht="18.75">
      <c r="A516" s="1"/>
      <c r="B516" s="153"/>
      <c r="C516" s="154"/>
      <c r="D516" s="151"/>
      <c r="E516" s="151"/>
      <c r="F516" s="155"/>
      <c r="G516" s="155"/>
      <c r="H516" s="155"/>
      <c r="I516" s="156"/>
      <c r="J516" s="155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1"/>
      <c r="X516" s="1"/>
      <c r="Y516" s="1"/>
    </row>
    <row x14ac:dyDescent="0.25" r="517" customHeight="1" ht="18.75">
      <c r="A517" s="1"/>
      <c r="B517" s="150"/>
      <c r="C517" s="150"/>
      <c r="D517" s="151"/>
      <c r="E517" s="151"/>
      <c r="F517" s="152"/>
      <c r="G517" s="152"/>
      <c r="H517" s="152"/>
      <c r="I517" s="152"/>
      <c r="J517" s="152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1"/>
      <c r="X517" s="1"/>
      <c r="Y517" s="1"/>
    </row>
    <row x14ac:dyDescent="0.25" r="518" customHeight="1" ht="18.75">
      <c r="A518" s="1"/>
      <c r="B518" s="150"/>
      <c r="C518" s="150"/>
      <c r="D518" s="151"/>
      <c r="E518" s="151"/>
      <c r="F518" s="152"/>
      <c r="G518" s="152"/>
      <c r="H518" s="152"/>
      <c r="I518" s="152"/>
      <c r="J518" s="152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1"/>
      <c r="X518" s="1"/>
      <c r="Y518" s="1"/>
    </row>
    <row x14ac:dyDescent="0.25" r="519" customHeight="1" ht="18.75">
      <c r="A519" s="1"/>
      <c r="B519" s="153"/>
      <c r="C519" s="154"/>
      <c r="D519" s="151"/>
      <c r="E519" s="151"/>
      <c r="F519" s="155"/>
      <c r="G519" s="155"/>
      <c r="H519" s="155"/>
      <c r="I519" s="156"/>
      <c r="J519" s="155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1"/>
      <c r="X519" s="1"/>
      <c r="Y519" s="1"/>
    </row>
    <row x14ac:dyDescent="0.25" r="520" customHeight="1" ht="18.75">
      <c r="A520" s="1"/>
      <c r="B520" s="150"/>
      <c r="C520" s="150"/>
      <c r="D520" s="151"/>
      <c r="E520" s="151"/>
      <c r="F520" s="152"/>
      <c r="G520" s="152"/>
      <c r="H520" s="152"/>
      <c r="I520" s="152"/>
      <c r="J520" s="152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1"/>
      <c r="X520" s="1"/>
      <c r="Y520" s="1"/>
    </row>
    <row x14ac:dyDescent="0.25" r="521" customHeight="1" ht="18.75">
      <c r="A521" s="1"/>
      <c r="B521" s="150"/>
      <c r="C521" s="150"/>
      <c r="D521" s="151"/>
      <c r="E521" s="151"/>
      <c r="F521" s="152"/>
      <c r="G521" s="152"/>
      <c r="H521" s="152"/>
      <c r="I521" s="152"/>
      <c r="J521" s="152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1"/>
      <c r="X521" s="1"/>
      <c r="Y521" s="1"/>
    </row>
    <row x14ac:dyDescent="0.25" r="522" customHeight="1" ht="18.75">
      <c r="A522" s="1"/>
      <c r="B522" s="153"/>
      <c r="C522" s="154"/>
      <c r="D522" s="151"/>
      <c r="E522" s="151"/>
      <c r="F522" s="155"/>
      <c r="G522" s="155"/>
      <c r="H522" s="155"/>
      <c r="I522" s="156"/>
      <c r="J522" s="155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1"/>
      <c r="X522" s="1"/>
      <c r="Y522" s="1"/>
    </row>
    <row x14ac:dyDescent="0.25" r="523" customHeight="1" ht="18.75">
      <c r="A523" s="1"/>
      <c r="B523" s="150"/>
      <c r="C523" s="150"/>
      <c r="D523" s="151"/>
      <c r="E523" s="151"/>
      <c r="F523" s="152"/>
      <c r="G523" s="152"/>
      <c r="H523" s="152"/>
      <c r="I523" s="152"/>
      <c r="J523" s="152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1"/>
      <c r="X523" s="1"/>
      <c r="Y523" s="1"/>
    </row>
    <row x14ac:dyDescent="0.25" r="524" customHeight="1" ht="18.75">
      <c r="A524" s="1"/>
      <c r="B524" s="150"/>
      <c r="C524" s="150"/>
      <c r="D524" s="151"/>
      <c r="E524" s="151"/>
      <c r="F524" s="152"/>
      <c r="G524" s="152"/>
      <c r="H524" s="152"/>
      <c r="I524" s="152"/>
      <c r="J524" s="152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1"/>
      <c r="X524" s="1"/>
      <c r="Y524" s="1"/>
    </row>
    <row x14ac:dyDescent="0.25" r="525" customHeight="1" ht="18.75">
      <c r="A525" s="1"/>
      <c r="B525" s="153"/>
      <c r="C525" s="154"/>
      <c r="D525" s="151"/>
      <c r="E525" s="151"/>
      <c r="F525" s="155"/>
      <c r="G525" s="155"/>
      <c r="H525" s="155"/>
      <c r="I525" s="156"/>
      <c r="J525" s="155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1"/>
      <c r="X525" s="1"/>
      <c r="Y525" s="1"/>
    </row>
    <row x14ac:dyDescent="0.25" r="526" customHeight="1" ht="18.75">
      <c r="A526" s="1"/>
      <c r="B526" s="153"/>
      <c r="C526" s="153"/>
      <c r="D526" s="151"/>
      <c r="E526" s="151"/>
      <c r="F526" s="155"/>
      <c r="G526" s="155"/>
      <c r="H526" s="155"/>
      <c r="I526" s="156"/>
      <c r="J526" s="155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1"/>
      <c r="X526" s="1"/>
      <c r="Y526" s="1"/>
    </row>
    <row x14ac:dyDescent="0.25" r="527" customHeight="1" ht="18.75">
      <c r="A527" s="1"/>
      <c r="B527" s="153"/>
      <c r="C527" s="150"/>
      <c r="D527" s="151"/>
      <c r="E527" s="151"/>
      <c r="F527" s="155"/>
      <c r="G527" s="155"/>
      <c r="H527" s="155"/>
      <c r="I527" s="156"/>
      <c r="J527" s="155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1"/>
      <c r="X527" s="1"/>
      <c r="Y527" s="1"/>
    </row>
    <row x14ac:dyDescent="0.25" r="528" customHeight="1" ht="18.75">
      <c r="A528" s="1"/>
      <c r="B528" s="150"/>
      <c r="C528" s="150"/>
      <c r="D528" s="151"/>
      <c r="E528" s="151"/>
      <c r="F528" s="152"/>
      <c r="G528" s="152"/>
      <c r="H528" s="152"/>
      <c r="I528" s="152"/>
      <c r="J528" s="152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1"/>
      <c r="X528" s="1"/>
      <c r="Y528" s="1"/>
    </row>
    <row x14ac:dyDescent="0.25" r="529" customHeight="1" ht="18.75">
      <c r="A529" s="1"/>
      <c r="B529" s="150"/>
      <c r="C529" s="150"/>
      <c r="D529" s="151"/>
      <c r="E529" s="151"/>
      <c r="F529" s="152"/>
      <c r="G529" s="158"/>
      <c r="H529" s="152"/>
      <c r="I529" s="152"/>
      <c r="J529" s="152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1"/>
      <c r="X529" s="1"/>
      <c r="Y5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7"/>
  <sheetViews>
    <sheetView workbookViewId="0"/>
  </sheetViews>
  <sheetFormatPr defaultRowHeight="15" x14ac:dyDescent="0.25"/>
  <cols>
    <col min="1" max="1" style="106" width="53.43357142857143" customWidth="1" bestFit="1"/>
    <col min="2" max="2" style="107" width="19.433571428571426" customWidth="1" bestFit="1"/>
    <col min="3" max="3" style="106" width="18.576428571428572" customWidth="1" bestFit="1"/>
    <col min="4" max="4" style="106" width="18.576428571428572" customWidth="1" bestFit="1"/>
    <col min="5" max="5" style="106" width="18.576428571428572" customWidth="1" bestFit="1"/>
    <col min="6" max="6" style="106" width="18.576428571428572" customWidth="1" bestFit="1"/>
    <col min="7" max="7" style="106" width="18.576428571428572" customWidth="1" bestFit="1"/>
    <col min="8" max="8" style="106" width="18.576428571428572" customWidth="1" bestFit="1"/>
    <col min="9" max="9" style="106" width="18.576428571428572" customWidth="1" bestFit="1"/>
    <col min="10" max="10" style="106" width="18.576428571428572" customWidth="1" bestFit="1"/>
    <col min="11" max="11" style="6" width="13.576428571428572" customWidth="1" bestFit="1" hidden="1"/>
    <col min="12" max="12" style="6" width="13.576428571428572" customWidth="1" bestFit="1" hidden="1"/>
    <col min="13" max="13" style="6" width="13.576428571428572" customWidth="1" bestFit="1" hidden="1"/>
    <col min="14" max="14" style="6" width="13.576428571428572" customWidth="1" bestFit="1" hidden="1"/>
    <col min="15" max="15" style="6" width="13.576428571428572" customWidth="1" bestFit="1" hidden="1"/>
    <col min="16" max="16" style="6" width="13.576428571428572" customWidth="1" bestFit="1" hidden="1"/>
    <col min="17" max="17" style="106" width="18.576428571428572" customWidth="1" bestFit="1"/>
    <col min="18" max="18" style="106" width="18.576428571428572" customWidth="1" bestFit="1"/>
    <col min="19" max="19" style="108" width="14.862142857142858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</cols>
  <sheetData>
    <row x14ac:dyDescent="0.25" r="1" customHeight="1" ht="18.75">
      <c r="A1" s="76" t="s">
        <v>1145</v>
      </c>
      <c r="B1" s="77"/>
      <c r="C1" s="78"/>
      <c r="D1" s="78"/>
      <c r="E1" s="78"/>
      <c r="F1" s="78"/>
      <c r="G1" s="78"/>
      <c r="H1" s="78"/>
      <c r="I1" s="78"/>
      <c r="J1" s="78"/>
      <c r="K1" s="1"/>
      <c r="L1" s="1"/>
      <c r="M1" s="1"/>
      <c r="N1" s="1"/>
      <c r="O1" s="1"/>
      <c r="P1" s="1"/>
      <c r="Q1" s="78"/>
      <c r="R1" s="78"/>
      <c r="S1" s="79"/>
      <c r="T1" s="1"/>
      <c r="U1" s="1"/>
      <c r="V1" s="1"/>
    </row>
    <row x14ac:dyDescent="0.25" r="2" customHeight="1" ht="18.75">
      <c r="A2" s="80" t="s">
        <v>1146</v>
      </c>
      <c r="B2" s="77"/>
      <c r="C2" s="78"/>
      <c r="D2" s="81"/>
      <c r="E2" s="81"/>
      <c r="F2" s="82"/>
      <c r="G2" s="81"/>
      <c r="H2" s="78"/>
      <c r="I2" s="78"/>
      <c r="J2" s="78"/>
      <c r="K2" s="1"/>
      <c r="L2" s="1"/>
      <c r="M2" s="1"/>
      <c r="N2" s="1"/>
      <c r="O2" s="1"/>
      <c r="P2" s="1"/>
      <c r="Q2" s="83"/>
      <c r="R2" s="84" t="s">
        <v>1147</v>
      </c>
      <c r="S2" s="85"/>
      <c r="T2" s="1"/>
      <c r="U2" s="1"/>
      <c r="V2" s="1"/>
    </row>
    <row x14ac:dyDescent="0.25" r="3" customHeight="1" ht="18.75">
      <c r="A3" s="86">
        <f>SIB_Retail_details_R!B28</f>
      </c>
      <c r="B3" s="87">
        <f>SIB_Retail_details_R!C28</f>
      </c>
      <c r="C3" s="78"/>
      <c r="D3" s="81"/>
      <c r="E3" s="88">
        <f>SUM(C5:E5)</f>
      </c>
      <c r="F3" s="82"/>
      <c r="G3" s="78"/>
      <c r="H3" s="78"/>
      <c r="I3" s="78"/>
      <c r="J3" s="89">
        <f>SUM(F5:J5)</f>
      </c>
      <c r="K3" s="1"/>
      <c r="L3" s="1"/>
      <c r="M3" s="1"/>
      <c r="N3" s="1"/>
      <c r="O3" s="1"/>
      <c r="P3" s="1"/>
      <c r="Q3" s="90">
        <f>SUM(P5:Q5)</f>
      </c>
      <c r="R3" s="78"/>
      <c r="S3" s="79"/>
      <c r="T3" s="1"/>
      <c r="U3" s="1"/>
      <c r="V3" s="1"/>
    </row>
    <row x14ac:dyDescent="0.25" r="4" customHeight="1" ht="18.75">
      <c r="A4" s="91">
        <f>'[14]Revenue walk (Brk)'!A4</f>
      </c>
      <c r="B4" s="92"/>
      <c r="C4" s="92">
        <f>SIB_Retail_details_R!C10</f>
      </c>
      <c r="D4" s="92">
        <f>SIB_Retail_details_R!C9</f>
      </c>
      <c r="E4" s="93">
        <f>SIB_Retail_details_R!C8</f>
      </c>
      <c r="F4" s="92">
        <f>SIB_Retail_details_R!C3</f>
      </c>
      <c r="G4" s="92">
        <f>SIB_Retail_details_R!C4</f>
      </c>
      <c r="H4" s="92">
        <f>SIB_Retail_details_R!C7</f>
      </c>
      <c r="I4" s="92">
        <f>SIB_Retail_details_R!C5</f>
      </c>
      <c r="J4" s="92">
        <f>SIB_Retail_details_R!C6</f>
      </c>
      <c r="K4" s="94"/>
      <c r="L4" s="94"/>
      <c r="M4" s="94"/>
      <c r="N4" s="94"/>
      <c r="O4" s="94"/>
      <c r="P4" s="94"/>
      <c r="Q4" s="92"/>
      <c r="R4" s="92">
        <f>CONCATENATE(A3," 2017"," update")</f>
      </c>
      <c r="S4" s="79"/>
      <c r="T4" s="1"/>
      <c r="U4" s="1"/>
      <c r="V4" s="1"/>
    </row>
    <row x14ac:dyDescent="0.25" r="5" customHeight="1" ht="18.75">
      <c r="A5" s="91">
        <f>SIB_Retail_details_R!D28</f>
      </c>
      <c r="B5" s="95"/>
      <c r="C5" s="96">
        <f>VLOOKUP(C4,SIB_Retail_details_R!$C$3:$E$17,3,FALSE)</f>
      </c>
      <c r="D5" s="96">
        <f>VLOOKUP(D4,SIB_Retail_details_R!$C$3:$E$17,3,FALSE)</f>
      </c>
      <c r="E5" s="96">
        <f>VLOOKUP(E4,SIB_Retail_details_R!$C$3:$E$17,3,FALSE)</f>
      </c>
      <c r="F5" s="97">
        <f>VLOOKUP(F4,SIB_Retail_details_R!$C$3:$E$17,3,FALSE)</f>
      </c>
      <c r="G5" s="97">
        <f>VLOOKUP(G4,SIB_Retail_details_R!$C$3:$E$17,3,FALSE)</f>
      </c>
      <c r="H5" s="97">
        <f>VLOOKUP(H4,SIB_Retail_details_R!$C$3:$E$17,3,FALSE)</f>
      </c>
      <c r="I5" s="97">
        <f>VLOOKUP(I4,SIB_Retail_details_R!$C$3:$E$17,3,FALSE)</f>
      </c>
      <c r="J5" s="97">
        <f>VLOOKUP(J4,SIB_Retail_details_R!$C$3:$E$17,3,FALSE)</f>
      </c>
      <c r="K5" s="98"/>
      <c r="L5" s="98"/>
      <c r="M5" s="98"/>
      <c r="N5" s="98"/>
      <c r="O5" s="98"/>
      <c r="P5" s="98"/>
      <c r="Q5" s="98"/>
      <c r="R5" s="91">
        <f>SIB_Retail_details_R!E28</f>
      </c>
      <c r="S5" s="99">
        <f>SUM(A5:Q5)-R5</f>
      </c>
      <c r="T5" s="4"/>
      <c r="U5" s="4"/>
      <c r="V5" s="4"/>
    </row>
    <row x14ac:dyDescent="0.25" r="6" customHeight="1" ht="18.75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81"/>
      <c r="P6" s="81"/>
      <c r="Q6" s="81"/>
      <c r="R6" s="81"/>
      <c r="S6" s="81"/>
      <c r="T6" s="81"/>
      <c r="U6" s="4"/>
      <c r="V6" s="4"/>
    </row>
    <row x14ac:dyDescent="0.25" r="7" customHeight="1" ht="18.75">
      <c r="A7" s="100"/>
      <c r="B7" s="100"/>
      <c r="C7" s="100"/>
      <c r="D7" s="78"/>
      <c r="E7" s="78"/>
      <c r="F7" s="78"/>
      <c r="G7" s="78"/>
      <c r="H7" s="100"/>
      <c r="I7" s="100"/>
      <c r="J7" s="100"/>
      <c r="K7" s="100"/>
      <c r="L7" s="100"/>
      <c r="M7" s="100"/>
      <c r="N7" s="100"/>
      <c r="O7" s="81"/>
      <c r="P7" s="81"/>
      <c r="Q7" s="81"/>
      <c r="R7" s="81"/>
      <c r="S7" s="81"/>
      <c r="T7" s="81"/>
      <c r="U7" s="4"/>
      <c r="V7" s="4"/>
    </row>
    <row x14ac:dyDescent="0.25" r="8" customHeight="1" ht="18.75">
      <c r="A8" s="100"/>
      <c r="B8" s="100"/>
      <c r="C8" s="100"/>
      <c r="D8" s="78"/>
      <c r="E8" s="78"/>
      <c r="F8" s="78"/>
      <c r="G8" s="78"/>
      <c r="H8" s="100"/>
      <c r="I8" s="100"/>
      <c r="J8" s="100"/>
      <c r="K8" s="100"/>
      <c r="L8" s="100"/>
      <c r="M8" s="100"/>
      <c r="N8" s="100"/>
      <c r="O8" s="81"/>
      <c r="P8" s="81"/>
      <c r="Q8" s="81"/>
      <c r="R8" s="81"/>
      <c r="S8" s="81"/>
      <c r="T8" s="81"/>
      <c r="U8" s="4"/>
      <c r="V8" s="4"/>
    </row>
    <row x14ac:dyDescent="0.25" r="9" customHeight="1" ht="18.75">
      <c r="A9" s="101">
        <f>A4</f>
      </c>
      <c r="B9" s="102">
        <f>A5</f>
      </c>
      <c r="C9" s="81"/>
      <c r="D9" s="78"/>
      <c r="E9" s="78"/>
      <c r="F9" s="78"/>
      <c r="G9" s="78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4"/>
      <c r="V9" s="4"/>
    </row>
    <row x14ac:dyDescent="0.25" r="10" customHeight="1" ht="18.75">
      <c r="A10" s="103">
        <f>C4</f>
      </c>
      <c r="B10" s="104">
        <f>C5</f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4"/>
      <c r="V10" s="4"/>
    </row>
    <row x14ac:dyDescent="0.25" r="11" customHeight="1" ht="18.75">
      <c r="A11" s="103">
        <f>D4</f>
      </c>
      <c r="B11" s="104">
        <f>D5</f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4"/>
      <c r="V11" s="4"/>
    </row>
    <row x14ac:dyDescent="0.25" r="12" customHeight="1" ht="18.75">
      <c r="A12" s="103">
        <f>E4</f>
      </c>
      <c r="B12" s="104">
        <f>E5</f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4"/>
      <c r="V12" s="4"/>
    </row>
    <row x14ac:dyDescent="0.25" r="13" customHeight="1" ht="18.75">
      <c r="A13" s="103">
        <f>F4</f>
      </c>
      <c r="B13" s="104">
        <f>F5</f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4"/>
      <c r="V13" s="4"/>
    </row>
    <row x14ac:dyDescent="0.25" r="14" customHeight="1" ht="18.75">
      <c r="A14" s="103">
        <f>G4</f>
      </c>
      <c r="B14" s="104">
        <f>G5</f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4"/>
      <c r="V14" s="4"/>
    </row>
    <row x14ac:dyDescent="0.25" r="15" customHeight="1" ht="18.75">
      <c r="A15" s="103">
        <f>H4</f>
      </c>
      <c r="B15" s="104">
        <f>H5</f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4"/>
      <c r="V15" s="4"/>
    </row>
    <row x14ac:dyDescent="0.25" r="16" customHeight="1" ht="18.75">
      <c r="A16" s="103">
        <f>I4</f>
      </c>
      <c r="B16" s="104">
        <f>I5</f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4"/>
      <c r="V16" s="4"/>
    </row>
    <row x14ac:dyDescent="0.25" r="17" customHeight="1" ht="18.75">
      <c r="A17" s="103">
        <f>J4</f>
      </c>
      <c r="B17" s="104">
        <f>J5</f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4"/>
      <c r="V17" s="4"/>
    </row>
    <row x14ac:dyDescent="0.25" r="18" customHeight="1" ht="18.75">
      <c r="A18" s="101">
        <f>R4</f>
      </c>
      <c r="B18" s="102">
        <f>R5</f>
      </c>
      <c r="C18" s="105">
        <f>SUM(B9:B17)-B18</f>
      </c>
      <c r="D18" s="78"/>
      <c r="E18" s="78"/>
      <c r="F18" s="78"/>
      <c r="G18" s="78"/>
      <c r="H18" s="78"/>
      <c r="I18" s="78"/>
      <c r="J18" s="78"/>
      <c r="K18" s="1"/>
      <c r="L18" s="1"/>
      <c r="M18" s="1"/>
      <c r="N18" s="1"/>
      <c r="O18" s="1"/>
      <c r="P18" s="1"/>
      <c r="Q18" s="78"/>
      <c r="R18" s="78"/>
      <c r="S18" s="79"/>
      <c r="T18" s="1"/>
      <c r="U18" s="1"/>
      <c r="V18" s="1"/>
    </row>
    <row x14ac:dyDescent="0.25" r="19" customHeight="1" ht="18.75">
      <c r="A19" s="78"/>
      <c r="B19" s="77"/>
      <c r="C19" s="78"/>
      <c r="D19" s="78"/>
      <c r="E19" s="78"/>
      <c r="F19" s="78"/>
      <c r="G19" s="78"/>
      <c r="H19" s="78"/>
      <c r="I19" s="78"/>
      <c r="J19" s="78"/>
      <c r="K19" s="1"/>
      <c r="L19" s="1"/>
      <c r="M19" s="1"/>
      <c r="N19" s="1"/>
      <c r="O19" s="1"/>
      <c r="P19" s="1"/>
      <c r="Q19" s="78"/>
      <c r="R19" s="78"/>
      <c r="S19" s="79"/>
      <c r="T19" s="1"/>
      <c r="U19" s="1"/>
      <c r="V19" s="1"/>
    </row>
    <row x14ac:dyDescent="0.25" r="20" customHeight="1" ht="18.75">
      <c r="A20" s="78"/>
      <c r="B20" s="77"/>
      <c r="C20" s="78"/>
      <c r="D20" s="78"/>
      <c r="E20" s="78"/>
      <c r="F20" s="78"/>
      <c r="G20" s="78"/>
      <c r="H20" s="78"/>
      <c r="I20" s="78"/>
      <c r="J20" s="78"/>
      <c r="K20" s="1"/>
      <c r="L20" s="1"/>
      <c r="M20" s="1"/>
      <c r="N20" s="1"/>
      <c r="O20" s="1"/>
      <c r="P20" s="1"/>
      <c r="Q20" s="78"/>
      <c r="R20" s="78"/>
      <c r="S20" s="79"/>
      <c r="T20" s="1"/>
      <c r="U20" s="1"/>
      <c r="V20" s="1"/>
    </row>
    <row x14ac:dyDescent="0.25" r="21" customHeight="1" ht="18.75">
      <c r="A21" s="78"/>
      <c r="B21" s="77"/>
      <c r="C21" s="78"/>
      <c r="D21" s="78"/>
      <c r="E21" s="78"/>
      <c r="F21" s="78"/>
      <c r="G21" s="78"/>
      <c r="H21" s="78"/>
      <c r="I21" s="78"/>
      <c r="J21" s="78"/>
      <c r="K21" s="1"/>
      <c r="L21" s="1"/>
      <c r="M21" s="1"/>
      <c r="N21" s="1"/>
      <c r="O21" s="1"/>
      <c r="P21" s="1"/>
      <c r="Q21" s="78"/>
      <c r="R21" s="78"/>
      <c r="S21" s="79"/>
      <c r="T21" s="1"/>
      <c r="U21" s="1"/>
      <c r="V21" s="1"/>
    </row>
    <row x14ac:dyDescent="0.25" r="22" customHeight="1" ht="18.75">
      <c r="A22" s="78"/>
      <c r="B22" s="77"/>
      <c r="C22" s="78"/>
      <c r="D22" s="78"/>
      <c r="E22" s="78"/>
      <c r="F22" s="78"/>
      <c r="G22" s="78"/>
      <c r="H22" s="78"/>
      <c r="I22" s="78"/>
      <c r="J22" s="78"/>
      <c r="K22" s="1"/>
      <c r="L22" s="1"/>
      <c r="M22" s="1"/>
      <c r="N22" s="1"/>
      <c r="O22" s="1"/>
      <c r="P22" s="1"/>
      <c r="Q22" s="78"/>
      <c r="R22" s="78"/>
      <c r="S22" s="79"/>
      <c r="T22" s="1"/>
      <c r="U22" s="1"/>
      <c r="V22" s="1"/>
    </row>
    <row x14ac:dyDescent="0.25" r="23" customHeight="1" ht="18.75">
      <c r="A23" s="78"/>
      <c r="B23" s="77"/>
      <c r="C23" s="78"/>
      <c r="D23" s="78"/>
      <c r="E23" s="78"/>
      <c r="F23" s="78"/>
      <c r="G23" s="78"/>
      <c r="H23" s="78"/>
      <c r="I23" s="78"/>
      <c r="J23" s="78"/>
      <c r="K23" s="1"/>
      <c r="L23" s="1"/>
      <c r="M23" s="1"/>
      <c r="N23" s="1"/>
      <c r="O23" s="1"/>
      <c r="P23" s="1"/>
      <c r="Q23" s="78"/>
      <c r="R23" s="78"/>
      <c r="S23" s="79"/>
      <c r="T23" s="1"/>
      <c r="U23" s="1"/>
      <c r="V23" s="1"/>
    </row>
    <row x14ac:dyDescent="0.25" r="24" customHeight="1" ht="18.75">
      <c r="A24" s="78"/>
      <c r="B24" s="103" t="s">
        <v>1148</v>
      </c>
      <c r="C24" s="100" t="s">
        <v>1149</v>
      </c>
      <c r="D24" s="78"/>
      <c r="E24" s="78"/>
      <c r="F24" s="78"/>
      <c r="G24" s="78"/>
      <c r="H24" s="78"/>
      <c r="I24" s="78"/>
      <c r="J24" s="78"/>
      <c r="K24" s="1"/>
      <c r="L24" s="1"/>
      <c r="M24" s="1"/>
      <c r="N24" s="1"/>
      <c r="O24" s="1"/>
      <c r="P24" s="1"/>
      <c r="Q24" s="78"/>
      <c r="R24" s="78"/>
      <c r="S24" s="79"/>
      <c r="T24" s="1"/>
      <c r="U24" s="1"/>
      <c r="V24" s="1"/>
    </row>
    <row x14ac:dyDescent="0.25" r="25" customHeight="1" ht="18.75">
      <c r="A25" s="78"/>
      <c r="B25" s="103" t="s">
        <v>1150</v>
      </c>
      <c r="C25" s="100" t="s">
        <v>1151</v>
      </c>
      <c r="D25" s="78"/>
      <c r="E25" s="78"/>
      <c r="F25" s="78"/>
      <c r="G25" s="78"/>
      <c r="H25" s="78"/>
      <c r="I25" s="78"/>
      <c r="J25" s="78"/>
      <c r="K25" s="1"/>
      <c r="L25" s="1"/>
      <c r="M25" s="1"/>
      <c r="N25" s="1"/>
      <c r="O25" s="1"/>
      <c r="P25" s="1"/>
      <c r="Q25" s="78"/>
      <c r="R25" s="78"/>
      <c r="S25" s="79"/>
      <c r="T25" s="1"/>
      <c r="U25" s="1"/>
      <c r="V25" s="1"/>
    </row>
    <row x14ac:dyDescent="0.25" r="26" customHeight="1" ht="18.75">
      <c r="A26" s="78"/>
      <c r="B26" s="103" t="s">
        <v>1152</v>
      </c>
      <c r="C26" s="103" t="s">
        <v>1153</v>
      </c>
      <c r="D26" s="78"/>
      <c r="E26" s="78"/>
      <c r="F26" s="78"/>
      <c r="G26" s="78"/>
      <c r="H26" s="78"/>
      <c r="I26" s="78"/>
      <c r="J26" s="78"/>
      <c r="K26" s="1"/>
      <c r="L26" s="1"/>
      <c r="M26" s="1"/>
      <c r="N26" s="1"/>
      <c r="O26" s="1"/>
      <c r="P26" s="1"/>
      <c r="Q26" s="78"/>
      <c r="R26" s="78"/>
      <c r="S26" s="79"/>
      <c r="T26" s="1"/>
      <c r="U26" s="1"/>
      <c r="V26" s="1"/>
    </row>
    <row x14ac:dyDescent="0.25" r="27" customHeight="1" ht="18.75">
      <c r="A27" s="78"/>
      <c r="B27" s="103" t="s">
        <v>150</v>
      </c>
      <c r="C27" s="81"/>
      <c r="D27" s="78"/>
      <c r="E27" s="78"/>
      <c r="F27" s="78"/>
      <c r="G27" s="78"/>
      <c r="H27" s="78"/>
      <c r="I27" s="78"/>
      <c r="J27" s="78"/>
      <c r="K27" s="1"/>
      <c r="L27" s="1"/>
      <c r="M27" s="1"/>
      <c r="N27" s="1"/>
      <c r="O27" s="1"/>
      <c r="P27" s="1"/>
      <c r="Q27" s="78"/>
      <c r="R27" s="78"/>
      <c r="S27" s="79"/>
      <c r="T27" s="1"/>
      <c r="U27" s="1"/>
      <c r="V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43"/>
  <sheetViews>
    <sheetView workbookViewId="0"/>
  </sheetViews>
  <sheetFormatPr defaultRowHeight="15" x14ac:dyDescent="0.25"/>
  <cols>
    <col min="1" max="1" style="7" width="13.576428571428572" customWidth="1" bestFit="1" hidden="1"/>
    <col min="2" max="2" style="6" width="39.57642857142857" customWidth="1" bestFit="1"/>
    <col min="3" max="3" style="6" width="48.57642857142857" customWidth="1" bestFit="1"/>
    <col min="4" max="4" style="74" width="15.576428571428572" customWidth="1" bestFit="1"/>
    <col min="5" max="5" style="74" width="15.576428571428572" customWidth="1" bestFit="1"/>
    <col min="6" max="6" style="7" width="13.576428571428572" customWidth="1" bestFit="1"/>
    <col min="7" max="7" style="6" width="13.576428571428572" customWidth="1" bestFit="1" hidden="1"/>
    <col min="8" max="8" style="6" width="13.576428571428572" customWidth="1" bestFit="1" hidden="1"/>
    <col min="9" max="9" style="6" width="13.576428571428572" customWidth="1" bestFit="1" hidden="1"/>
    <col min="10" max="10" style="7" width="28.14785714285714" customWidth="1" bestFit="1"/>
    <col min="11" max="11" style="75" width="13.576428571428572" customWidth="1" bestFit="1"/>
  </cols>
  <sheetData>
    <row x14ac:dyDescent="0.25" r="1" customHeight="1" ht="18.75">
      <c r="A1" s="3"/>
      <c r="B1" s="1"/>
      <c r="C1" s="1"/>
      <c r="D1" s="38"/>
      <c r="E1" s="38"/>
      <c r="F1" s="3"/>
      <c r="G1" s="1"/>
      <c r="H1" s="1"/>
      <c r="I1" s="1"/>
      <c r="J1" s="3"/>
      <c r="K1" s="39"/>
    </row>
    <row x14ac:dyDescent="0.25" r="2" customHeight="1" ht="18.75">
      <c r="A2" s="3"/>
      <c r="B2" s="40"/>
      <c r="C2" s="41"/>
      <c r="D2" s="42" t="s">
        <v>1043</v>
      </c>
      <c r="E2" s="43" t="s">
        <v>1044</v>
      </c>
      <c r="F2" s="3"/>
      <c r="G2" s="1"/>
      <c r="H2" s="1"/>
      <c r="I2" s="1"/>
      <c r="J2" s="3"/>
      <c r="K2" s="39"/>
    </row>
    <row x14ac:dyDescent="0.25" r="3" customHeight="1" ht="18.75">
      <c r="A3" s="3"/>
      <c r="B3" s="44"/>
      <c r="C3" s="45" t="s">
        <v>1000</v>
      </c>
      <c r="D3" s="46"/>
      <c r="E3" s="47">
        <f>SUMIF(J:J,C3,F:F)</f>
      </c>
      <c r="F3" s="48"/>
      <c r="G3" s="1"/>
      <c r="H3" s="1"/>
      <c r="I3" s="1"/>
      <c r="J3" s="3"/>
      <c r="K3" s="39"/>
    </row>
    <row x14ac:dyDescent="0.25" r="4" customHeight="1" ht="18.75">
      <c r="A4" s="3"/>
      <c r="B4" s="49"/>
      <c r="C4" s="11" t="s">
        <v>154</v>
      </c>
      <c r="D4" s="50"/>
      <c r="E4" s="47">
        <f>SUMIF(J:J,C4,F:F)</f>
      </c>
      <c r="F4" s="48"/>
      <c r="G4" s="1"/>
      <c r="H4" s="1"/>
      <c r="I4" s="1"/>
      <c r="J4" s="3"/>
      <c r="K4" s="39"/>
    </row>
    <row x14ac:dyDescent="0.25" r="5" customHeight="1" ht="18.75">
      <c r="A5" s="3"/>
      <c r="B5" s="49"/>
      <c r="C5" s="11" t="s">
        <v>222</v>
      </c>
      <c r="D5" s="50"/>
      <c r="E5" s="47">
        <f>SUMIF(J:J,C5,F:F)</f>
      </c>
      <c r="F5" s="48"/>
      <c r="G5" s="1"/>
      <c r="H5" s="1"/>
      <c r="I5" s="1"/>
      <c r="J5" s="3"/>
      <c r="K5" s="39"/>
    </row>
    <row x14ac:dyDescent="0.25" r="6" customHeight="1" ht="18.75">
      <c r="A6" s="3"/>
      <c r="B6" s="49"/>
      <c r="C6" s="11" t="s">
        <v>1045</v>
      </c>
      <c r="D6" s="50"/>
      <c r="E6" s="47">
        <f>SUMIF(J:J,C6,F:F)</f>
      </c>
      <c r="F6" s="4"/>
      <c r="G6" s="1"/>
      <c r="H6" s="1"/>
      <c r="I6" s="1"/>
      <c r="J6" s="3"/>
      <c r="K6" s="39"/>
    </row>
    <row x14ac:dyDescent="0.25" r="7" customHeight="1" ht="18.75">
      <c r="A7" s="3"/>
      <c r="B7" s="49"/>
      <c r="C7" s="11" t="s">
        <v>209</v>
      </c>
      <c r="D7" s="50"/>
      <c r="E7" s="47">
        <f>SUMIF(J:J,C7,F:F)</f>
      </c>
      <c r="F7" s="4"/>
      <c r="G7" s="1"/>
      <c r="H7" s="1"/>
      <c r="I7" s="1"/>
      <c r="J7" s="3"/>
      <c r="K7" s="39"/>
    </row>
    <row x14ac:dyDescent="0.25" r="8" customHeight="1" ht="18.75">
      <c r="A8" s="3"/>
      <c r="B8" s="49"/>
      <c r="C8" s="11" t="s">
        <v>286</v>
      </c>
      <c r="D8" s="50"/>
      <c r="E8" s="47">
        <f>SUMIF(J:J,C8,F:F)</f>
      </c>
      <c r="F8" s="3"/>
      <c r="G8" s="1"/>
      <c r="H8" s="1"/>
      <c r="I8" s="1"/>
      <c r="J8" s="3"/>
      <c r="K8" s="39"/>
    </row>
    <row x14ac:dyDescent="0.25" r="9" customHeight="1" ht="18.75">
      <c r="A9" s="3"/>
      <c r="B9" s="49" t="s">
        <v>1046</v>
      </c>
      <c r="C9" s="12" t="s">
        <v>153</v>
      </c>
      <c r="D9" s="50"/>
      <c r="E9" s="47">
        <f>SUMIF(J:J,C9,F:F)</f>
      </c>
      <c r="F9" s="3"/>
      <c r="G9" s="1"/>
      <c r="H9" s="1"/>
      <c r="I9" s="1"/>
      <c r="J9" s="3"/>
      <c r="K9" s="39"/>
    </row>
    <row x14ac:dyDescent="0.25" r="10" customHeight="1" ht="18.75">
      <c r="A10" s="3"/>
      <c r="B10" s="49"/>
      <c r="C10" s="12" t="s">
        <v>155</v>
      </c>
      <c r="D10" s="50"/>
      <c r="E10" s="47">
        <f>SUMIF(J:J,C10,F:F)</f>
      </c>
      <c r="F10" s="3"/>
      <c r="G10" s="1"/>
      <c r="H10" s="1"/>
      <c r="I10" s="1"/>
      <c r="J10" s="3"/>
      <c r="K10" s="39"/>
    </row>
    <row x14ac:dyDescent="0.25" r="11" customHeight="1" ht="18.75">
      <c r="A11" s="3"/>
      <c r="B11" s="49"/>
      <c r="C11" s="12"/>
      <c r="D11" s="50"/>
      <c r="E11" s="47">
        <f>SUMIF(J:J,C11,F:F)</f>
      </c>
      <c r="F11" s="3"/>
      <c r="G11" s="1"/>
      <c r="H11" s="1"/>
      <c r="I11" s="1"/>
      <c r="J11" s="3"/>
      <c r="K11" s="39"/>
    </row>
    <row x14ac:dyDescent="0.25" r="12" customHeight="1" ht="18.75">
      <c r="A12" s="3"/>
      <c r="B12" s="49"/>
      <c r="C12" s="12"/>
      <c r="D12" s="50"/>
      <c r="E12" s="47"/>
      <c r="F12" s="3"/>
      <c r="G12" s="1"/>
      <c r="H12" s="1"/>
      <c r="I12" s="1"/>
      <c r="J12" s="3"/>
      <c r="K12" s="39"/>
    </row>
    <row x14ac:dyDescent="0.25" r="13" customHeight="1" ht="18.75">
      <c r="A13" s="3"/>
      <c r="B13" s="49"/>
      <c r="C13" s="12"/>
      <c r="D13" s="50"/>
      <c r="E13" s="47"/>
      <c r="F13" s="3"/>
      <c r="G13" s="1"/>
      <c r="H13" s="1"/>
      <c r="I13" s="1"/>
      <c r="J13" s="3"/>
      <c r="K13" s="39"/>
    </row>
    <row x14ac:dyDescent="0.25" r="14" customHeight="1" ht="18.75">
      <c r="A14" s="3"/>
      <c r="B14" s="49"/>
      <c r="C14" s="12"/>
      <c r="D14" s="50"/>
      <c r="E14" s="47"/>
      <c r="F14" s="3"/>
      <c r="G14" s="1"/>
      <c r="H14" s="1"/>
      <c r="I14" s="1"/>
      <c r="J14" s="3"/>
      <c r="K14" s="39"/>
    </row>
    <row x14ac:dyDescent="0.25" r="15" customHeight="1" ht="18.75">
      <c r="A15" s="3"/>
      <c r="B15" s="49"/>
      <c r="C15" s="12"/>
      <c r="D15" s="50"/>
      <c r="E15" s="47"/>
      <c r="F15" s="3"/>
      <c r="G15" s="1"/>
      <c r="H15" s="1"/>
      <c r="I15" s="1"/>
      <c r="J15" s="3"/>
      <c r="K15" s="39"/>
    </row>
    <row x14ac:dyDescent="0.25" r="16" customHeight="1" ht="18.75">
      <c r="A16" s="3"/>
      <c r="B16" s="49"/>
      <c r="C16" s="11"/>
      <c r="D16" s="50"/>
      <c r="E16" s="47"/>
      <c r="F16" s="3"/>
      <c r="G16" s="1"/>
      <c r="H16" s="1"/>
      <c r="I16" s="1"/>
      <c r="J16" s="3"/>
      <c r="K16" s="39"/>
    </row>
    <row x14ac:dyDescent="0.25" r="17" customHeight="1" ht="18.75">
      <c r="A17" s="3"/>
      <c r="B17" s="51"/>
      <c r="C17" s="52"/>
      <c r="D17" s="53"/>
      <c r="E17" s="54"/>
      <c r="F17" s="3"/>
      <c r="G17" s="1"/>
      <c r="H17" s="1"/>
      <c r="I17" s="1"/>
      <c r="J17" s="3"/>
      <c r="K17" s="39"/>
    </row>
    <row x14ac:dyDescent="0.25" r="18" customHeight="1" ht="18.75" hidden="1">
      <c r="A18" s="3" t="s">
        <v>1047</v>
      </c>
      <c r="B18" s="1"/>
      <c r="C18" s="1"/>
      <c r="D18" s="38"/>
      <c r="E18" s="38"/>
      <c r="F18" s="3"/>
      <c r="G18" s="1" t="s">
        <v>121</v>
      </c>
      <c r="H18" s="1"/>
      <c r="I18" s="4"/>
      <c r="J18" s="3"/>
      <c r="K18" s="39"/>
    </row>
    <row x14ac:dyDescent="0.25" r="19" customHeight="1" ht="18.75" hidden="1">
      <c r="A19" s="4">
        <v>0</v>
      </c>
      <c r="B19" s="55"/>
      <c r="C19" s="56"/>
      <c r="D19" s="57"/>
      <c r="E19" s="57"/>
      <c r="F19" s="3"/>
      <c r="G19" s="1" t="s">
        <v>123</v>
      </c>
      <c r="H19" s="1"/>
      <c r="I19" s="57"/>
      <c r="J19" s="3"/>
      <c r="K19" s="39"/>
    </row>
    <row x14ac:dyDescent="0.25" r="20" customHeight="1" ht="18.75" hidden="1">
      <c r="A20" s="4">
        <v>1</v>
      </c>
      <c r="B20" s="58"/>
      <c r="C20" s="59"/>
      <c r="D20" s="60"/>
      <c r="E20" s="60"/>
      <c r="F20" s="3"/>
      <c r="G20" s="1" t="s">
        <v>0</v>
      </c>
      <c r="H20" s="1"/>
      <c r="I20" s="60"/>
      <c r="J20" s="3"/>
      <c r="K20" s="39"/>
    </row>
    <row x14ac:dyDescent="0.25" r="21" customHeight="1" ht="18.75" hidden="1">
      <c r="A21" s="4">
        <v>2</v>
      </c>
      <c r="B21" s="58"/>
      <c r="C21" s="59"/>
      <c r="D21" s="60"/>
      <c r="E21" s="60"/>
      <c r="F21" s="3"/>
      <c r="G21" s="1" t="s">
        <v>1048</v>
      </c>
      <c r="H21" s="1"/>
      <c r="I21" s="60"/>
      <c r="J21" s="3"/>
      <c r="K21" s="39"/>
    </row>
    <row x14ac:dyDescent="0.25" r="22" customHeight="1" ht="18.75" hidden="1">
      <c r="A22" s="4">
        <v>3</v>
      </c>
      <c r="B22" s="58"/>
      <c r="C22" s="59"/>
      <c r="D22" s="60"/>
      <c r="E22" s="60"/>
      <c r="F22" s="3"/>
      <c r="G22" s="1" t="s">
        <v>1049</v>
      </c>
      <c r="H22" s="1"/>
      <c r="I22" s="60"/>
      <c r="J22" s="3"/>
      <c r="K22" s="39"/>
    </row>
    <row x14ac:dyDescent="0.25" r="23" customHeight="1" ht="18.75" hidden="1">
      <c r="A23" s="3" t="s">
        <v>1050</v>
      </c>
      <c r="B23" s="58"/>
      <c r="C23" s="59"/>
      <c r="D23" s="60"/>
      <c r="E23" s="60"/>
      <c r="F23" s="3"/>
      <c r="G23" s="1"/>
      <c r="H23" s="1"/>
      <c r="I23" s="60"/>
      <c r="J23" s="3"/>
      <c r="K23" s="39"/>
    </row>
    <row x14ac:dyDescent="0.25" r="24" customHeight="1" ht="18.75" hidden="1">
      <c r="A24" s="3" t="s">
        <v>1051</v>
      </c>
      <c r="B24" s="1"/>
      <c r="C24" s="1"/>
      <c r="D24" s="61"/>
      <c r="E24" s="61"/>
      <c r="F24" s="3"/>
      <c r="G24" s="1"/>
      <c r="H24" s="1"/>
      <c r="I24" s="62"/>
      <c r="J24" s="3"/>
      <c r="K24" s="39"/>
    </row>
    <row x14ac:dyDescent="0.25" r="25" customHeight="1" ht="18.75" hidden="1">
      <c r="A25" s="3" t="s">
        <v>1052</v>
      </c>
      <c r="B25" s="1"/>
      <c r="C25" s="1"/>
      <c r="D25" s="38"/>
      <c r="E25" s="38"/>
      <c r="F25" s="3"/>
      <c r="G25" s="1"/>
      <c r="H25" s="1"/>
      <c r="I25" s="1"/>
      <c r="J25" s="3"/>
      <c r="K25" s="39"/>
    </row>
    <row x14ac:dyDescent="0.25" r="26" customHeight="1" ht="18.75" hidden="1">
      <c r="A26" s="3"/>
      <c r="B26" s="1" t="s">
        <v>1053</v>
      </c>
      <c r="C26" s="1"/>
      <c r="D26" s="38"/>
      <c r="E26" s="38"/>
      <c r="F26" s="3"/>
      <c r="G26" s="1"/>
      <c r="H26" s="1"/>
      <c r="I26" s="1"/>
      <c r="J26" s="3"/>
      <c r="K26" s="39"/>
    </row>
    <row x14ac:dyDescent="0.25" r="27" customHeight="1" ht="18.75">
      <c r="A27" s="3"/>
      <c r="B27" s="1"/>
      <c r="C27" s="1"/>
      <c r="D27" s="38"/>
      <c r="E27" s="38"/>
      <c r="F27" s="3"/>
      <c r="G27" s="1"/>
      <c r="H27" s="1"/>
      <c r="I27" s="1"/>
      <c r="J27" s="3"/>
      <c r="K27" s="39"/>
    </row>
    <row x14ac:dyDescent="0.25" r="28" customHeight="1" ht="18.75">
      <c r="A28" s="3"/>
      <c r="B28" s="1" t="s">
        <v>287</v>
      </c>
      <c r="C28" s="1" t="s">
        <v>1054</v>
      </c>
      <c r="D28" s="4">
        <f>SUM(D$34:D$1048576)</f>
      </c>
      <c r="E28" s="4">
        <f>SUM(E$34:E$1048576)</f>
      </c>
      <c r="F28" s="4">
        <f>SUM(F$34:F$1048576)</f>
      </c>
      <c r="G28" s="1"/>
      <c r="H28" s="1"/>
      <c r="I28" s="1"/>
      <c r="J28" s="3"/>
      <c r="K28" s="39"/>
    </row>
    <row x14ac:dyDescent="0.25" r="29" customHeight="1" ht="18.75">
      <c r="A29" s="3"/>
      <c r="B29" s="1"/>
      <c r="C29" s="1"/>
      <c r="D29" s="38"/>
      <c r="E29" s="38"/>
      <c r="F29" s="3"/>
      <c r="G29" s="1"/>
      <c r="H29" s="1"/>
      <c r="I29" s="1"/>
      <c r="J29" s="3"/>
      <c r="K29" s="39"/>
    </row>
    <row x14ac:dyDescent="0.25" r="30" customHeight="1" ht="18.75">
      <c r="A30" s="3"/>
      <c r="B30" s="63"/>
      <c r="C30" s="64"/>
      <c r="D30" s="65" t="s">
        <v>1055</v>
      </c>
      <c r="E30" s="65" t="s">
        <v>1055</v>
      </c>
      <c r="F30" s="66"/>
      <c r="G30" s="64"/>
      <c r="H30" s="64"/>
      <c r="I30" s="64"/>
      <c r="J30" s="66"/>
      <c r="K30" s="39"/>
    </row>
    <row x14ac:dyDescent="0.25" r="31" customHeight="1" ht="18.75">
      <c r="A31" s="3"/>
      <c r="B31" s="63" t="s">
        <v>1056</v>
      </c>
      <c r="C31" s="64" t="s">
        <v>1057</v>
      </c>
      <c r="D31" s="64">
        <v>42370.083333333336</v>
      </c>
      <c r="E31" s="64">
        <v>42736.083333333336</v>
      </c>
      <c r="F31" s="66"/>
      <c r="G31" s="64"/>
      <c r="H31" s="64"/>
      <c r="I31" s="64"/>
      <c r="J31" s="66"/>
      <c r="K31" s="39"/>
    </row>
    <row x14ac:dyDescent="0.25" r="32" customHeight="1" ht="18.75">
      <c r="A32" s="3"/>
      <c r="B32" s="63"/>
      <c r="C32" s="64"/>
      <c r="D32" s="65" t="s">
        <v>125</v>
      </c>
      <c r="E32" s="65" t="s">
        <v>1058</v>
      </c>
      <c r="F32" s="66"/>
      <c r="G32" s="64"/>
      <c r="H32" s="64"/>
      <c r="I32" s="64"/>
      <c r="J32" s="66"/>
      <c r="K32" s="39"/>
    </row>
    <row x14ac:dyDescent="0.25" r="33" customHeight="1" ht="18.75">
      <c r="A33" s="3"/>
      <c r="B33" s="67">
        <f>B31</f>
      </c>
      <c r="C33" s="68">
        <f>C31</f>
      </c>
      <c r="D33" s="65" t="s">
        <v>1059</v>
      </c>
      <c r="E33" s="65" t="s">
        <v>15</v>
      </c>
      <c r="F33" s="66" t="s">
        <v>1060</v>
      </c>
      <c r="G33" s="64" t="s">
        <v>1061</v>
      </c>
      <c r="H33" s="64" t="s">
        <v>1062</v>
      </c>
      <c r="I33" s="64" t="s">
        <v>1063</v>
      </c>
      <c r="J33" s="66" t="s">
        <v>1064</v>
      </c>
      <c r="K33" s="39"/>
    </row>
    <row x14ac:dyDescent="0.25" r="34" customHeight="1" ht="18.75">
      <c r="A34" s="3" t="s">
        <v>1051</v>
      </c>
      <c r="B34" s="1" t="s">
        <v>18</v>
      </c>
      <c r="C34" s="1" t="s">
        <v>19</v>
      </c>
      <c r="D34" s="69"/>
      <c r="E34" s="69"/>
      <c r="F34" s="3"/>
      <c r="G34" s="1" t="s">
        <v>1065</v>
      </c>
      <c r="H34" s="1"/>
      <c r="I34" s="70"/>
      <c r="J34" s="71">
        <f>IFERROR(VLOOKUP(C34,Lynette!$C$13:$D$1213,2,FALSE),0)</f>
      </c>
      <c r="K34" s="72">
        <f>E34/D34-1</f>
      </c>
    </row>
    <row x14ac:dyDescent="0.25" r="35" customHeight="1" ht="18.75">
      <c r="A35" s="3" t="s">
        <v>1051</v>
      </c>
      <c r="B35" s="1" t="s">
        <v>20</v>
      </c>
      <c r="C35" s="1" t="s">
        <v>22</v>
      </c>
      <c r="D35" s="69"/>
      <c r="E35" s="69"/>
      <c r="F35" s="3"/>
      <c r="G35" s="1" t="s">
        <v>1066</v>
      </c>
      <c r="H35" s="1"/>
      <c r="I35" s="70"/>
      <c r="J35" s="32">
        <f>IFERROR(VLOOKUP(C35,Lynette!$C$13:$D$1213,2,FALSE),0)</f>
      </c>
      <c r="K35" s="72">
        <f>E35/D35-1</f>
      </c>
    </row>
    <row x14ac:dyDescent="0.25" r="36" customHeight="1" ht="18.75">
      <c r="A36" s="3" t="s">
        <v>1051</v>
      </c>
      <c r="B36" s="1" t="s">
        <v>20</v>
      </c>
      <c r="C36" s="1" t="s">
        <v>23</v>
      </c>
      <c r="D36" s="69"/>
      <c r="E36" s="69"/>
      <c r="F36" s="3"/>
      <c r="G36" s="1" t="s">
        <v>1067</v>
      </c>
      <c r="H36" s="1"/>
      <c r="I36" s="70"/>
      <c r="J36" s="32">
        <f>IFERROR(VLOOKUP(C36,Lynette!$C$13:$D$1213,2,FALSE),0)</f>
      </c>
      <c r="K36" s="72">
        <f>E36/D36-1</f>
      </c>
    </row>
    <row x14ac:dyDescent="0.25" r="37" customHeight="1" ht="18.75">
      <c r="A37" s="3" t="s">
        <v>1051</v>
      </c>
      <c r="B37" s="1" t="s">
        <v>20</v>
      </c>
      <c r="C37" s="1" t="s">
        <v>24</v>
      </c>
      <c r="D37" s="69"/>
      <c r="E37" s="69"/>
      <c r="F37" s="3"/>
      <c r="G37" s="1" t="s">
        <v>1068</v>
      </c>
      <c r="H37" s="1"/>
      <c r="I37" s="70"/>
      <c r="J37" s="32">
        <f>IFERROR(VLOOKUP(C37,Lynette!$C$13:$D$1213,2,FALSE),0)</f>
      </c>
      <c r="K37" s="72">
        <f>E37/D37-1</f>
      </c>
    </row>
    <row x14ac:dyDescent="0.25" r="38" customHeight="1" ht="18.75">
      <c r="A38" s="3" t="s">
        <v>1051</v>
      </c>
      <c r="B38" s="1" t="s">
        <v>20</v>
      </c>
      <c r="C38" s="1" t="s">
        <v>25</v>
      </c>
      <c r="D38" s="69"/>
      <c r="E38" s="69"/>
      <c r="F38" s="3"/>
      <c r="G38" s="1" t="s">
        <v>1069</v>
      </c>
      <c r="H38" s="1"/>
      <c r="I38" s="70"/>
      <c r="J38" s="32">
        <f>IFERROR(VLOOKUP(C38,Lynette!$C$13:$D$1213,2,FALSE),0)</f>
      </c>
      <c r="K38" s="72">
        <f>E38/D38-1</f>
      </c>
    </row>
    <row x14ac:dyDescent="0.25" r="39" customHeight="1" ht="18.75">
      <c r="A39" s="3" t="s">
        <v>1051</v>
      </c>
      <c r="B39" s="1" t="s">
        <v>26</v>
      </c>
      <c r="C39" s="1" t="s">
        <v>27</v>
      </c>
      <c r="D39" s="69"/>
      <c r="E39" s="69"/>
      <c r="F39" s="3"/>
      <c r="G39" s="1" t="s">
        <v>1070</v>
      </c>
      <c r="H39" s="1"/>
      <c r="I39" s="70"/>
      <c r="J39" s="32">
        <f>IFERROR(VLOOKUP(C39,Lynette!$C$13:$D$1213,2,FALSE),0)</f>
      </c>
      <c r="K39" s="72">
        <f>E39/D39-1</f>
      </c>
    </row>
    <row x14ac:dyDescent="0.25" r="40" customHeight="1" ht="18.75">
      <c r="A40" s="3" t="s">
        <v>1051</v>
      </c>
      <c r="B40" s="1" t="s">
        <v>26</v>
      </c>
      <c r="C40" s="1" t="s">
        <v>28</v>
      </c>
      <c r="D40" s="69"/>
      <c r="E40" s="69"/>
      <c r="F40" s="3"/>
      <c r="G40" s="1" t="s">
        <v>1071</v>
      </c>
      <c r="H40" s="1"/>
      <c r="I40" s="70"/>
      <c r="J40" s="32">
        <f>IFERROR(VLOOKUP(C40,Lynette!$C$13:$D$1213,2,FALSE),0)</f>
      </c>
      <c r="K40" s="72">
        <f>E40/D40-1</f>
      </c>
    </row>
    <row x14ac:dyDescent="0.25" r="41" customHeight="1" ht="18.75">
      <c r="A41" s="3" t="s">
        <v>1051</v>
      </c>
      <c r="B41" s="1" t="s">
        <v>26</v>
      </c>
      <c r="C41" s="1" t="s">
        <v>29</v>
      </c>
      <c r="D41" s="69"/>
      <c r="E41" s="69"/>
      <c r="F41" s="3"/>
      <c r="G41" s="1" t="s">
        <v>1072</v>
      </c>
      <c r="H41" s="1"/>
      <c r="I41" s="70"/>
      <c r="J41" s="32">
        <f>IFERROR(VLOOKUP(C41,Lynette!$C$13:$D$1213,2,FALSE),0)</f>
      </c>
      <c r="K41" s="72">
        <f>E41/D41-1</f>
      </c>
    </row>
    <row x14ac:dyDescent="0.25" r="42" customHeight="1" ht="18.75">
      <c r="A42" s="3" t="s">
        <v>1051</v>
      </c>
      <c r="B42" s="1" t="s">
        <v>30</v>
      </c>
      <c r="C42" s="1" t="s">
        <v>31</v>
      </c>
      <c r="D42" s="69"/>
      <c r="E42" s="69"/>
      <c r="F42" s="3"/>
      <c r="G42" s="1" t="s">
        <v>1073</v>
      </c>
      <c r="H42" s="1"/>
      <c r="I42" s="70"/>
      <c r="J42" s="32">
        <f>IFERROR(VLOOKUP(C42,Lynette!$C$13:$D$1213,2,FALSE),0)</f>
      </c>
      <c r="K42" s="72">
        <f>E42/D42-1</f>
      </c>
    </row>
    <row x14ac:dyDescent="0.25" r="43" customHeight="1" ht="18.75">
      <c r="A43" s="3" t="s">
        <v>1051</v>
      </c>
      <c r="B43" s="1" t="s">
        <v>30</v>
      </c>
      <c r="C43" s="1" t="s">
        <v>32</v>
      </c>
      <c r="D43" s="69"/>
      <c r="E43" s="69"/>
      <c r="F43" s="3"/>
      <c r="G43" s="1" t="s">
        <v>1074</v>
      </c>
      <c r="H43" s="1"/>
      <c r="I43" s="70"/>
      <c r="J43" s="32">
        <f>IFERROR(VLOOKUP(C43,Lynette!$C$13:$D$1213,2,FALSE),0)</f>
      </c>
      <c r="K43" s="72">
        <f>E43/D43-1</f>
      </c>
    </row>
    <row x14ac:dyDescent="0.25" r="44" customHeight="1" ht="18.75">
      <c r="A44" s="3" t="s">
        <v>1051</v>
      </c>
      <c r="B44" s="1" t="s">
        <v>30</v>
      </c>
      <c r="C44" s="1" t="s">
        <v>33</v>
      </c>
      <c r="D44" s="69"/>
      <c r="E44" s="69"/>
      <c r="F44" s="3"/>
      <c r="G44" s="1" t="s">
        <v>1075</v>
      </c>
      <c r="H44" s="1"/>
      <c r="I44" s="70"/>
      <c r="J44" s="32">
        <f>IFERROR(VLOOKUP(C44,Lynette!$C$13:$D$1213,2,FALSE),0)</f>
      </c>
      <c r="K44" s="72">
        <f>E44/D44-1</f>
      </c>
    </row>
    <row x14ac:dyDescent="0.25" r="45" customHeight="1" ht="18.75">
      <c r="A45" s="3" t="s">
        <v>1051</v>
      </c>
      <c r="B45" s="1" t="s">
        <v>30</v>
      </c>
      <c r="C45" s="1" t="s">
        <v>34</v>
      </c>
      <c r="D45" s="69"/>
      <c r="E45" s="69"/>
      <c r="F45" s="3"/>
      <c r="G45" s="1" t="s">
        <v>1076</v>
      </c>
      <c r="H45" s="1"/>
      <c r="I45" s="70"/>
      <c r="J45" s="32">
        <f>IFERROR(VLOOKUP(C45,Lynette!$C$13:$D$1213,2,FALSE),0)</f>
      </c>
      <c r="K45" s="72">
        <f>E45/D45-1</f>
      </c>
    </row>
    <row x14ac:dyDescent="0.25" r="46" customHeight="1" ht="18.75">
      <c r="A46" s="3" t="s">
        <v>1051</v>
      </c>
      <c r="B46" s="1" t="s">
        <v>30</v>
      </c>
      <c r="C46" s="1" t="s">
        <v>35</v>
      </c>
      <c r="D46" s="69"/>
      <c r="E46" s="69"/>
      <c r="F46" s="3"/>
      <c r="G46" s="1" t="s">
        <v>1077</v>
      </c>
      <c r="H46" s="1"/>
      <c r="I46" s="70"/>
      <c r="J46" s="32">
        <f>IFERROR(VLOOKUP(C46,Lynette!$C$13:$D$1213,2,FALSE),0)</f>
      </c>
      <c r="K46" s="72">
        <f>E46/D46-1</f>
      </c>
    </row>
    <row x14ac:dyDescent="0.25" r="47" customHeight="1" ht="18.75">
      <c r="A47" s="3" t="s">
        <v>1051</v>
      </c>
      <c r="B47" s="1" t="s">
        <v>30</v>
      </c>
      <c r="C47" s="1" t="s">
        <v>55</v>
      </c>
      <c r="D47" s="69"/>
      <c r="E47" s="69"/>
      <c r="F47" s="3"/>
      <c r="G47" s="1" t="s">
        <v>1078</v>
      </c>
      <c r="H47" s="1"/>
      <c r="I47" s="70"/>
      <c r="J47" s="32">
        <f>IFERROR(VLOOKUP(C47,Lynette!$C$13:$D$1213,2,FALSE),0)</f>
      </c>
      <c r="K47" s="72">
        <f>E47/D47-1</f>
      </c>
    </row>
    <row x14ac:dyDescent="0.25" r="48" customHeight="1" ht="18.75">
      <c r="A48" s="3" t="s">
        <v>1051</v>
      </c>
      <c r="B48" s="1" t="s">
        <v>30</v>
      </c>
      <c r="C48" s="1" t="s">
        <v>60</v>
      </c>
      <c r="D48" s="69"/>
      <c r="E48" s="69"/>
      <c r="F48" s="3"/>
      <c r="G48" s="1"/>
      <c r="H48" s="1"/>
      <c r="I48" s="70"/>
      <c r="J48" s="32">
        <f>IFERROR(VLOOKUP(C48,Lynette!$C$13:$D$1213,2,FALSE),0)</f>
      </c>
      <c r="K48" s="72">
        <f>E48/D48-1</f>
      </c>
    </row>
    <row x14ac:dyDescent="0.25" r="49" customHeight="1" ht="18.75">
      <c r="A49" s="3" t="s">
        <v>1051</v>
      </c>
      <c r="B49" s="1" t="s">
        <v>36</v>
      </c>
      <c r="C49" s="1" t="s">
        <v>129</v>
      </c>
      <c r="D49" s="69"/>
      <c r="E49" s="69"/>
      <c r="F49" s="3"/>
      <c r="G49" s="1" t="s">
        <v>1079</v>
      </c>
      <c r="H49" s="1" t="s">
        <v>1080</v>
      </c>
      <c r="I49" s="70"/>
      <c r="J49" s="32">
        <f>IFERROR(VLOOKUP(C49,Lynette!$C$13:$D$1213,2,FALSE),0)</f>
      </c>
      <c r="K49" s="72">
        <f>E49/D49-1</f>
      </c>
    </row>
    <row x14ac:dyDescent="0.25" r="50" customHeight="1" ht="18.75">
      <c r="A50" s="3" t="s">
        <v>1051</v>
      </c>
      <c r="B50" s="1" t="s">
        <v>36</v>
      </c>
      <c r="C50" s="1" t="s">
        <v>37</v>
      </c>
      <c r="D50" s="69"/>
      <c r="E50" s="69"/>
      <c r="F50" s="3"/>
      <c r="G50" s="1" t="s">
        <v>1081</v>
      </c>
      <c r="H50" s="1"/>
      <c r="I50" s="70"/>
      <c r="J50" s="32">
        <f>IFERROR(VLOOKUP(C50,Lynette!$C$13:$D$1213,2,FALSE),0)</f>
      </c>
      <c r="K50" s="72">
        <f>E50/D50-1</f>
      </c>
    </row>
    <row x14ac:dyDescent="0.25" r="51" customHeight="1" ht="18.75">
      <c r="A51" s="3" t="s">
        <v>1051</v>
      </c>
      <c r="B51" s="1" t="s">
        <v>36</v>
      </c>
      <c r="C51" s="1" t="s">
        <v>38</v>
      </c>
      <c r="D51" s="69"/>
      <c r="E51" s="69"/>
      <c r="F51" s="3"/>
      <c r="G51" s="1" t="s">
        <v>1082</v>
      </c>
      <c r="H51" s="1"/>
      <c r="I51" s="70"/>
      <c r="J51" s="32">
        <f>IFERROR(VLOOKUP(C51,Lynette!$C$13:$D$1213,2,FALSE),0)</f>
      </c>
      <c r="K51" s="72">
        <f>E51/D51-1</f>
      </c>
    </row>
    <row x14ac:dyDescent="0.25" r="52" customHeight="1" ht="18.75">
      <c r="A52" s="3" t="s">
        <v>1051</v>
      </c>
      <c r="B52" s="1" t="s">
        <v>36</v>
      </c>
      <c r="C52" s="1" t="s">
        <v>39</v>
      </c>
      <c r="D52" s="69"/>
      <c r="E52" s="69"/>
      <c r="F52" s="3"/>
      <c r="G52" s="1" t="s">
        <v>1083</v>
      </c>
      <c r="H52" s="1"/>
      <c r="I52" s="70"/>
      <c r="J52" s="32">
        <f>IFERROR(VLOOKUP(C52,Lynette!$C$13:$D$1213,2,FALSE),0)</f>
      </c>
      <c r="K52" s="72">
        <f>E52/D52-1</f>
      </c>
    </row>
    <row x14ac:dyDescent="0.25" r="53" customHeight="1" ht="18.75">
      <c r="A53" s="3" t="s">
        <v>1051</v>
      </c>
      <c r="B53" s="1" t="s">
        <v>36</v>
      </c>
      <c r="C53" s="1" t="s">
        <v>41</v>
      </c>
      <c r="D53" s="69"/>
      <c r="E53" s="69"/>
      <c r="F53" s="3"/>
      <c r="G53" s="1" t="s">
        <v>1084</v>
      </c>
      <c r="H53" s="1"/>
      <c r="I53" s="70"/>
      <c r="J53" s="32">
        <f>IFERROR(VLOOKUP(C53,Lynette!$C$13:$D$1213,2,FALSE),0)</f>
      </c>
      <c r="K53" s="72">
        <f>E53/D53-1</f>
      </c>
    </row>
    <row x14ac:dyDescent="0.25" r="54" customHeight="1" ht="18.75">
      <c r="A54" s="3" t="s">
        <v>1051</v>
      </c>
      <c r="B54" s="1" t="s">
        <v>36</v>
      </c>
      <c r="C54" s="1" t="s">
        <v>42</v>
      </c>
      <c r="D54" s="69"/>
      <c r="E54" s="69"/>
      <c r="F54" s="3"/>
      <c r="G54" s="1" t="s">
        <v>1077</v>
      </c>
      <c r="H54" s="1"/>
      <c r="I54" s="70"/>
      <c r="J54" s="32">
        <f>IFERROR(VLOOKUP(C54,Lynette!$C$13:$D$1213,2,FALSE),0)</f>
      </c>
      <c r="K54" s="72">
        <f>E54/D54-1</f>
      </c>
    </row>
    <row x14ac:dyDescent="0.25" r="55" customHeight="1" ht="18.75">
      <c r="A55" s="3" t="s">
        <v>1051</v>
      </c>
      <c r="B55" s="1" t="s">
        <v>36</v>
      </c>
      <c r="C55" s="1" t="s">
        <v>43</v>
      </c>
      <c r="D55" s="69"/>
      <c r="E55" s="69"/>
      <c r="F55" s="3"/>
      <c r="G55" s="1" t="s">
        <v>1085</v>
      </c>
      <c r="H55" s="1"/>
      <c r="I55" s="70"/>
      <c r="J55" s="32">
        <f>IFERROR(VLOOKUP(C55,Lynette!$C$13:$D$1213,2,FALSE),0)</f>
      </c>
      <c r="K55" s="72">
        <f>E55/D55-1</f>
      </c>
    </row>
    <row x14ac:dyDescent="0.25" r="56" customHeight="1" ht="18.75">
      <c r="A56" s="3" t="s">
        <v>1051</v>
      </c>
      <c r="B56" s="1" t="s">
        <v>36</v>
      </c>
      <c r="C56" s="1" t="s">
        <v>44</v>
      </c>
      <c r="D56" s="69"/>
      <c r="E56" s="69"/>
      <c r="F56" s="3"/>
      <c r="G56" s="1" t="s">
        <v>1086</v>
      </c>
      <c r="H56" s="1"/>
      <c r="I56" s="70"/>
      <c r="J56" s="32">
        <f>IFERROR(VLOOKUP(C56,Lynette!$C$13:$D$1213,2,FALSE),0)</f>
      </c>
      <c r="K56" s="72">
        <f>E56/D56-1</f>
      </c>
    </row>
    <row x14ac:dyDescent="0.25" r="57" customHeight="1" ht="18.75">
      <c r="A57" s="3" t="s">
        <v>1051</v>
      </c>
      <c r="B57" s="1" t="s">
        <v>36</v>
      </c>
      <c r="C57" s="1" t="s">
        <v>60</v>
      </c>
      <c r="D57" s="69"/>
      <c r="E57" s="69"/>
      <c r="F57" s="3"/>
      <c r="G57" s="1"/>
      <c r="H57" s="1"/>
      <c r="I57" s="70"/>
      <c r="J57" s="32">
        <f>IFERROR(VLOOKUP(C57,Lynette!$C$13:$D$1213,2,FALSE),0)</f>
      </c>
      <c r="K57" s="72">
        <f>E57/D57-1</f>
      </c>
    </row>
    <row x14ac:dyDescent="0.25" r="58" customHeight="1" ht="18.75">
      <c r="A58" s="3" t="s">
        <v>1051</v>
      </c>
      <c r="B58" s="1" t="s">
        <v>45</v>
      </c>
      <c r="C58" s="1" t="s">
        <v>46</v>
      </c>
      <c r="D58" s="69"/>
      <c r="E58" s="69"/>
      <c r="F58" s="3"/>
      <c r="G58" s="1" t="s">
        <v>1087</v>
      </c>
      <c r="H58" s="1"/>
      <c r="I58" s="70"/>
      <c r="J58" s="32">
        <f>IFERROR(VLOOKUP(C58,Lynette!$C$13:$D$1213,2,FALSE),0)</f>
      </c>
      <c r="K58" s="72">
        <f>E58/D58-1</f>
      </c>
    </row>
    <row x14ac:dyDescent="0.25" r="59" customHeight="1" ht="18.75">
      <c r="A59" s="3" t="s">
        <v>1051</v>
      </c>
      <c r="B59" s="1" t="s">
        <v>45</v>
      </c>
      <c r="C59" s="1" t="s">
        <v>47</v>
      </c>
      <c r="D59" s="69"/>
      <c r="E59" s="69"/>
      <c r="F59" s="3"/>
      <c r="G59" s="1" t="s">
        <v>1088</v>
      </c>
      <c r="H59" s="1"/>
      <c r="I59" s="70"/>
      <c r="J59" s="32">
        <f>IFERROR(VLOOKUP(C59,Lynette!$C$13:$D$1213,2,FALSE),0)</f>
      </c>
      <c r="K59" s="72">
        <f>E59/D59-1</f>
      </c>
    </row>
    <row x14ac:dyDescent="0.25" r="60" customHeight="1" ht="18.75">
      <c r="A60" s="3" t="s">
        <v>1051</v>
      </c>
      <c r="B60" s="1" t="s">
        <v>45</v>
      </c>
      <c r="C60" s="1" t="s">
        <v>48</v>
      </c>
      <c r="D60" s="69"/>
      <c r="E60" s="69"/>
      <c r="F60" s="3"/>
      <c r="G60" s="1" t="s">
        <v>1089</v>
      </c>
      <c r="H60" s="1"/>
      <c r="I60" s="70"/>
      <c r="J60" s="32">
        <f>IFERROR(VLOOKUP(C60,Lynette!$C$13:$D$1213,2,FALSE),0)</f>
      </c>
      <c r="K60" s="72">
        <f>E60/D60-1</f>
      </c>
    </row>
    <row x14ac:dyDescent="0.25" r="61" customHeight="1" ht="18.75">
      <c r="A61" s="3" t="s">
        <v>1051</v>
      </c>
      <c r="B61" s="1" t="s">
        <v>45</v>
      </c>
      <c r="C61" s="1" t="s">
        <v>49</v>
      </c>
      <c r="D61" s="69"/>
      <c r="E61" s="69"/>
      <c r="F61" s="3"/>
      <c r="G61" s="1" t="s">
        <v>1090</v>
      </c>
      <c r="H61" s="1"/>
      <c r="I61" s="70"/>
      <c r="J61" s="32">
        <f>IFERROR(VLOOKUP(C61,Lynette!$C$13:$D$1213,2,FALSE),0)</f>
      </c>
      <c r="K61" s="72">
        <f>E61/D61-1</f>
      </c>
    </row>
    <row x14ac:dyDescent="0.25" r="62" customHeight="1" ht="18.75">
      <c r="A62" s="3" t="s">
        <v>1051</v>
      </c>
      <c r="B62" s="1" t="s">
        <v>45</v>
      </c>
      <c r="C62" s="1" t="s">
        <v>60</v>
      </c>
      <c r="D62" s="69"/>
      <c r="E62" s="69"/>
      <c r="F62" s="3"/>
      <c r="G62" s="1"/>
      <c r="H62" s="1"/>
      <c r="I62" s="70"/>
      <c r="J62" s="32">
        <f>IFERROR(VLOOKUP(C62,Lynette!$C$13:$D$1213,2,FALSE),0)</f>
      </c>
      <c r="K62" s="72">
        <f>E62/D62-1</f>
      </c>
    </row>
    <row x14ac:dyDescent="0.25" r="63" customHeight="1" ht="18.75">
      <c r="A63" s="3" t="s">
        <v>1051</v>
      </c>
      <c r="B63" s="1" t="s">
        <v>50</v>
      </c>
      <c r="C63" s="1" t="s">
        <v>51</v>
      </c>
      <c r="D63" s="69"/>
      <c r="E63" s="69"/>
      <c r="F63" s="3"/>
      <c r="G63" s="1" t="s">
        <v>1091</v>
      </c>
      <c r="H63" s="1"/>
      <c r="I63" s="70"/>
      <c r="J63" s="32">
        <f>IFERROR(VLOOKUP(C63,Lynette!$C$13:$D$1213,2,FALSE),0)</f>
      </c>
      <c r="K63" s="72">
        <f>E63/D63-1</f>
      </c>
    </row>
    <row x14ac:dyDescent="0.25" r="64" customHeight="1" ht="18.75">
      <c r="A64" s="3" t="s">
        <v>1051</v>
      </c>
      <c r="B64" s="1" t="s">
        <v>50</v>
      </c>
      <c r="C64" s="1" t="s">
        <v>1092</v>
      </c>
      <c r="D64" s="69"/>
      <c r="E64" s="69"/>
      <c r="F64" s="3"/>
      <c r="G64" s="1" t="s">
        <v>1093</v>
      </c>
      <c r="H64" s="1"/>
      <c r="I64" s="70"/>
      <c r="J64" s="71">
        <f>IFERROR(VLOOKUP(C64,Lynette!$C$13:$D$1213,2,FALSE),0)</f>
      </c>
      <c r="K64" s="72">
        <f>E64/D64-1</f>
      </c>
    </row>
    <row x14ac:dyDescent="0.25" r="65" customHeight="1" ht="18.75">
      <c r="A65" s="3" t="s">
        <v>1051</v>
      </c>
      <c r="B65" s="1" t="s">
        <v>50</v>
      </c>
      <c r="C65" s="1" t="s">
        <v>53</v>
      </c>
      <c r="D65" s="69"/>
      <c r="E65" s="69"/>
      <c r="F65" s="3"/>
      <c r="G65" s="1" t="s">
        <v>1094</v>
      </c>
      <c r="H65" s="1"/>
      <c r="I65" s="70"/>
      <c r="J65" s="32">
        <f>IFERROR(VLOOKUP(C65,Lynette!$C$13:$D$1213,2,FALSE),0)</f>
      </c>
      <c r="K65" s="72">
        <f>E65/D65-1</f>
      </c>
    </row>
    <row x14ac:dyDescent="0.25" r="66" customHeight="1" ht="18.75">
      <c r="A66" s="3"/>
      <c r="B66" s="1" t="s">
        <v>50</v>
      </c>
      <c r="C66" s="1" t="s">
        <v>54</v>
      </c>
      <c r="D66" s="69"/>
      <c r="E66" s="69"/>
      <c r="F66" s="3"/>
      <c r="G66" s="1" t="s">
        <v>1095</v>
      </c>
      <c r="H66" s="1"/>
      <c r="I66" s="70"/>
      <c r="J66" s="32">
        <f>IFERROR(VLOOKUP(C66,Lynette!$C$13:$D$1213,2,FALSE),0)</f>
      </c>
      <c r="K66" s="73">
        <v>1</v>
      </c>
    </row>
    <row x14ac:dyDescent="0.25" r="67" customHeight="1" ht="18.75">
      <c r="A67" s="3" t="s">
        <v>1051</v>
      </c>
      <c r="B67" s="1" t="s">
        <v>50</v>
      </c>
      <c r="C67" s="1" t="s">
        <v>55</v>
      </c>
      <c r="D67" s="69"/>
      <c r="E67" s="69"/>
      <c r="F67" s="3"/>
      <c r="G67" s="1" t="s">
        <v>1078</v>
      </c>
      <c r="H67" s="1"/>
      <c r="I67" s="70"/>
      <c r="J67" s="32">
        <f>IFERROR(VLOOKUP(C67,Lynette!$C$13:$D$1213,2,FALSE),0)</f>
      </c>
      <c r="K67" s="72">
        <f>E67/D67-1</f>
      </c>
    </row>
    <row x14ac:dyDescent="0.25" r="68" customHeight="1" ht="18.75">
      <c r="A68" s="3" t="s">
        <v>1051</v>
      </c>
      <c r="B68" s="1" t="s">
        <v>56</v>
      </c>
      <c r="C68" s="1" t="s">
        <v>57</v>
      </c>
      <c r="D68" s="69"/>
      <c r="E68" s="69"/>
      <c r="F68" s="3"/>
      <c r="G68" s="1" t="s">
        <v>1096</v>
      </c>
      <c r="H68" s="1"/>
      <c r="I68" s="70"/>
      <c r="J68" s="32">
        <f>IFERROR(VLOOKUP(C68,Lynette!$C$13:$D$1213,2,FALSE),0)</f>
      </c>
      <c r="K68" s="72">
        <f>E68/D68-1</f>
      </c>
    </row>
    <row x14ac:dyDescent="0.25" r="69" customHeight="1" ht="18.75">
      <c r="A69" s="3" t="s">
        <v>1051</v>
      </c>
      <c r="B69" s="1" t="s">
        <v>58</v>
      </c>
      <c r="C69" s="1" t="s">
        <v>59</v>
      </c>
      <c r="D69" s="69"/>
      <c r="E69" s="69"/>
      <c r="F69" s="3"/>
      <c r="G69" s="1" t="s">
        <v>1097</v>
      </c>
      <c r="H69" s="1"/>
      <c r="I69" s="70"/>
      <c r="J69" s="32">
        <f>IFERROR(VLOOKUP(C69,Lynette!$C$13:$D$1213,2,FALSE),0)</f>
      </c>
      <c r="K69" s="72">
        <f>E69/D69-1</f>
      </c>
    </row>
    <row x14ac:dyDescent="0.25" r="70" customHeight="1" ht="18.75">
      <c r="A70" s="3" t="s">
        <v>1051</v>
      </c>
      <c r="B70" s="1" t="s">
        <v>58</v>
      </c>
      <c r="C70" s="1" t="s">
        <v>60</v>
      </c>
      <c r="D70" s="69"/>
      <c r="E70" s="69"/>
      <c r="F70" s="3"/>
      <c r="G70" s="1"/>
      <c r="H70" s="1"/>
      <c r="I70" s="70"/>
      <c r="J70" s="32">
        <f>IFERROR(VLOOKUP(C70,Lynette!$C$13:$D$1213,2,FALSE),0)</f>
      </c>
      <c r="K70" s="72">
        <f>E70/D70-1</f>
      </c>
    </row>
    <row x14ac:dyDescent="0.25" r="71" customHeight="1" ht="18.75">
      <c r="A71" s="3" t="s">
        <v>1051</v>
      </c>
      <c r="B71" s="1" t="s">
        <v>58</v>
      </c>
      <c r="C71" s="1" t="s">
        <v>1098</v>
      </c>
      <c r="D71" s="69"/>
      <c r="E71" s="69"/>
      <c r="F71" s="3"/>
      <c r="G71" s="1"/>
      <c r="H71" s="1"/>
      <c r="I71" s="70"/>
      <c r="J71" s="32">
        <f>IFERROR(VLOOKUP(C71,Lynette!$C$13:$D$1213,2,FALSE),0)</f>
      </c>
      <c r="K71" s="72">
        <f>E71/D71-1</f>
      </c>
    </row>
    <row x14ac:dyDescent="0.25" r="72" customHeight="1" ht="18.75">
      <c r="A72" s="3" t="s">
        <v>1051</v>
      </c>
      <c r="B72" s="1" t="s">
        <v>61</v>
      </c>
      <c r="C72" s="1" t="s">
        <v>62</v>
      </c>
      <c r="D72" s="69"/>
      <c r="E72" s="69"/>
      <c r="F72" s="3"/>
      <c r="G72" s="1" t="s">
        <v>1099</v>
      </c>
      <c r="H72" s="1"/>
      <c r="I72" s="70"/>
      <c r="J72" s="32">
        <f>IFERROR(VLOOKUP(C72,Lynette!$C$13:$D$1213,2,FALSE),0)</f>
      </c>
      <c r="K72" s="72">
        <f>E72/D72-1</f>
      </c>
    </row>
    <row x14ac:dyDescent="0.25" r="73" customHeight="1" ht="18.75">
      <c r="A73" s="3" t="s">
        <v>1051</v>
      </c>
      <c r="B73" s="1" t="s">
        <v>61</v>
      </c>
      <c r="C73" s="1" t="s">
        <v>63</v>
      </c>
      <c r="D73" s="69"/>
      <c r="E73" s="69"/>
      <c r="F73" s="3"/>
      <c r="G73" s="1" t="s">
        <v>1100</v>
      </c>
      <c r="H73" s="1"/>
      <c r="I73" s="70"/>
      <c r="J73" s="32">
        <f>IFERROR(VLOOKUP(C73,Lynette!$C$13:$D$1213,2,FALSE),0)</f>
      </c>
      <c r="K73" s="72">
        <f>E73/D73-1</f>
      </c>
    </row>
    <row x14ac:dyDescent="0.25" r="74" customHeight="1" ht="18.75">
      <c r="A74" s="3" t="s">
        <v>1051</v>
      </c>
      <c r="B74" s="1" t="s">
        <v>61</v>
      </c>
      <c r="C74" s="1" t="s">
        <v>64</v>
      </c>
      <c r="D74" s="69"/>
      <c r="E74" s="69"/>
      <c r="F74" s="3"/>
      <c r="G74" s="1" t="s">
        <v>1101</v>
      </c>
      <c r="H74" s="1"/>
      <c r="I74" s="70"/>
      <c r="J74" s="32">
        <f>IFERROR(VLOOKUP(C74,Lynette!$C$13:$D$1213,2,FALSE),0)</f>
      </c>
      <c r="K74" s="72">
        <f>E74/D74-1</f>
      </c>
    </row>
    <row x14ac:dyDescent="0.25" r="75" customHeight="1" ht="18.75">
      <c r="A75" s="3" t="s">
        <v>1051</v>
      </c>
      <c r="B75" s="1" t="s">
        <v>61</v>
      </c>
      <c r="C75" s="1" t="s">
        <v>65</v>
      </c>
      <c r="D75" s="69"/>
      <c r="E75" s="69"/>
      <c r="F75" s="3"/>
      <c r="G75" s="1" t="s">
        <v>1102</v>
      </c>
      <c r="H75" s="1"/>
      <c r="I75" s="70"/>
      <c r="J75" s="32">
        <f>IFERROR(VLOOKUP(C75,Lynette!$C$13:$D$1213,2,FALSE),0)</f>
      </c>
      <c r="K75" s="72">
        <f>E75/D75-1</f>
      </c>
    </row>
    <row x14ac:dyDescent="0.25" r="76" customHeight="1" ht="18.75">
      <c r="A76" s="3" t="s">
        <v>1051</v>
      </c>
      <c r="B76" s="1" t="s">
        <v>61</v>
      </c>
      <c r="C76" s="1" t="s">
        <v>66</v>
      </c>
      <c r="D76" s="69"/>
      <c r="E76" s="69"/>
      <c r="F76" s="3"/>
      <c r="G76" s="1" t="s">
        <v>1103</v>
      </c>
      <c r="H76" s="1"/>
      <c r="I76" s="70"/>
      <c r="J76" s="32">
        <f>IFERROR(VLOOKUP(C76,Lynette!$C$13:$D$1213,2,FALSE),0)</f>
      </c>
      <c r="K76" s="72">
        <f>E76/D76-1</f>
      </c>
    </row>
    <row x14ac:dyDescent="0.25" r="77" customHeight="1" ht="18.75">
      <c r="A77" s="3" t="s">
        <v>1051</v>
      </c>
      <c r="B77" s="1" t="s">
        <v>67</v>
      </c>
      <c r="C77" s="1" t="s">
        <v>68</v>
      </c>
      <c r="D77" s="69"/>
      <c r="E77" s="69"/>
      <c r="F77" s="3"/>
      <c r="G77" s="1" t="s">
        <v>1104</v>
      </c>
      <c r="H77" s="1"/>
      <c r="I77" s="70"/>
      <c r="J77" s="32">
        <f>IFERROR(VLOOKUP(C77,Lynette!$C$13:$D$1213,2,FALSE),0)</f>
      </c>
      <c r="K77" s="72">
        <f>E77/D77-1</f>
      </c>
    </row>
    <row x14ac:dyDescent="0.25" r="78" customHeight="1" ht="18.75">
      <c r="A78" s="3" t="s">
        <v>1051</v>
      </c>
      <c r="B78" s="1" t="s">
        <v>67</v>
      </c>
      <c r="C78" s="1" t="s">
        <v>69</v>
      </c>
      <c r="D78" s="69"/>
      <c r="E78" s="69"/>
      <c r="F78" s="3"/>
      <c r="G78" s="1" t="s">
        <v>1105</v>
      </c>
      <c r="H78" s="1"/>
      <c r="I78" s="70"/>
      <c r="J78" s="32">
        <f>IFERROR(VLOOKUP(C78,Lynette!$C$13:$D$1213,2,FALSE),0)</f>
      </c>
      <c r="K78" s="72">
        <f>E78/D78-1</f>
      </c>
    </row>
    <row x14ac:dyDescent="0.25" r="79" customHeight="1" ht="18.75">
      <c r="A79" s="3" t="s">
        <v>1051</v>
      </c>
      <c r="B79" s="1" t="s">
        <v>67</v>
      </c>
      <c r="C79" s="1" t="s">
        <v>70</v>
      </c>
      <c r="D79" s="69"/>
      <c r="E79" s="69"/>
      <c r="F79" s="3"/>
      <c r="G79" s="1" t="s">
        <v>1106</v>
      </c>
      <c r="H79" s="1"/>
      <c r="I79" s="70"/>
      <c r="J79" s="32">
        <f>IFERROR(VLOOKUP(C79,Lynette!$C$13:$D$1213,2,FALSE),0)</f>
      </c>
      <c r="K79" s="72">
        <f>E79/D79-1</f>
      </c>
    </row>
    <row x14ac:dyDescent="0.25" r="80" customHeight="1" ht="18.75">
      <c r="A80" s="3"/>
      <c r="B80" s="1" t="s">
        <v>67</v>
      </c>
      <c r="C80" s="1" t="s">
        <v>71</v>
      </c>
      <c r="D80" s="69"/>
      <c r="E80" s="69"/>
      <c r="F80" s="3"/>
      <c r="G80" s="1" t="s">
        <v>1107</v>
      </c>
      <c r="H80" s="1"/>
      <c r="I80" s="70"/>
      <c r="J80" s="32">
        <f>IFERROR(VLOOKUP(C80,Lynette!$C$13:$D$1213,2,FALSE),0)</f>
      </c>
      <c r="K80" s="72">
        <f>E80/D80-1</f>
      </c>
    </row>
    <row x14ac:dyDescent="0.25" r="81" customHeight="1" ht="18.75">
      <c r="A81" s="3" t="s">
        <v>1051</v>
      </c>
      <c r="B81" s="1" t="s">
        <v>72</v>
      </c>
      <c r="C81" s="1" t="s">
        <v>73</v>
      </c>
      <c r="D81" s="69"/>
      <c r="E81" s="69"/>
      <c r="F81" s="3"/>
      <c r="G81" s="1" t="s">
        <v>1108</v>
      </c>
      <c r="H81" s="1"/>
      <c r="I81" s="70"/>
      <c r="J81" s="32">
        <f>IFERROR(VLOOKUP(C81,Lynette!$C$13:$D$1213,2,FALSE),0)</f>
      </c>
      <c r="K81" s="72">
        <f>E81/D81-1</f>
      </c>
    </row>
    <row x14ac:dyDescent="0.25" r="82" customHeight="1" ht="18.75">
      <c r="A82" s="3" t="s">
        <v>1051</v>
      </c>
      <c r="B82" s="1" t="s">
        <v>72</v>
      </c>
      <c r="C82" s="1" t="s">
        <v>74</v>
      </c>
      <c r="D82" s="69"/>
      <c r="E82" s="69"/>
      <c r="F82" s="3"/>
      <c r="G82" s="1" t="s">
        <v>1109</v>
      </c>
      <c r="H82" s="1"/>
      <c r="I82" s="70"/>
      <c r="J82" s="32">
        <f>IFERROR(VLOOKUP(C82,Lynette!$C$13:$D$1213,2,FALSE),0)</f>
      </c>
      <c r="K82" s="72">
        <f>E82/D82-1</f>
      </c>
    </row>
    <row x14ac:dyDescent="0.25" r="83" customHeight="1" ht="18.75">
      <c r="A83" s="3" t="s">
        <v>1051</v>
      </c>
      <c r="B83" s="1" t="s">
        <v>72</v>
      </c>
      <c r="C83" s="1" t="s">
        <v>75</v>
      </c>
      <c r="D83" s="69"/>
      <c r="E83" s="69"/>
      <c r="F83" s="3"/>
      <c r="G83" s="1" t="s">
        <v>1110</v>
      </c>
      <c r="H83" s="1"/>
      <c r="I83" s="70"/>
      <c r="J83" s="32">
        <f>IFERROR(VLOOKUP(C83,Lynette!$C$13:$D$1213,2,FALSE),0)</f>
      </c>
      <c r="K83" s="72">
        <f>E83/D83-1</f>
      </c>
    </row>
    <row x14ac:dyDescent="0.25" r="84" customHeight="1" ht="18.75">
      <c r="A84" s="3" t="s">
        <v>1051</v>
      </c>
      <c r="B84" s="1" t="s">
        <v>72</v>
      </c>
      <c r="C84" s="1" t="s">
        <v>76</v>
      </c>
      <c r="D84" s="69"/>
      <c r="E84" s="69"/>
      <c r="F84" s="3"/>
      <c r="G84" s="1" t="s">
        <v>1111</v>
      </c>
      <c r="H84" s="1"/>
      <c r="I84" s="70"/>
      <c r="J84" s="32">
        <f>IFERROR(VLOOKUP(C84,Lynette!$C$13:$D$1213,2,FALSE),0)</f>
      </c>
      <c r="K84" s="72">
        <f>E84/D84-1</f>
      </c>
    </row>
    <row x14ac:dyDescent="0.25" r="85" customHeight="1" ht="18.75">
      <c r="A85" s="3" t="s">
        <v>1051</v>
      </c>
      <c r="B85" s="1" t="s">
        <v>77</v>
      </c>
      <c r="C85" s="1" t="s">
        <v>78</v>
      </c>
      <c r="D85" s="69"/>
      <c r="E85" s="69"/>
      <c r="F85" s="3"/>
      <c r="G85" s="1" t="s">
        <v>1112</v>
      </c>
      <c r="H85" s="1"/>
      <c r="I85" s="70"/>
      <c r="J85" s="32">
        <f>IFERROR(VLOOKUP(C85,Lynette!$C$13:$D$1213,2,FALSE),0)</f>
      </c>
      <c r="K85" s="72">
        <f>E85/D85-1</f>
      </c>
    </row>
    <row x14ac:dyDescent="0.25" r="86" customHeight="1" ht="18.75">
      <c r="A86" s="3" t="s">
        <v>1051</v>
      </c>
      <c r="B86" s="1" t="s">
        <v>77</v>
      </c>
      <c r="C86" s="1" t="s">
        <v>79</v>
      </c>
      <c r="D86" s="69"/>
      <c r="E86" s="69"/>
      <c r="F86" s="3"/>
      <c r="G86" s="1" t="s">
        <v>1113</v>
      </c>
      <c r="H86" s="1"/>
      <c r="I86" s="70"/>
      <c r="J86" s="32">
        <f>IFERROR(VLOOKUP(C86,Lynette!$C$13:$D$1213,2,FALSE),0)</f>
      </c>
      <c r="K86" s="72">
        <f>E86/D86-1</f>
      </c>
    </row>
    <row x14ac:dyDescent="0.25" r="87" customHeight="1" ht="18.75">
      <c r="A87" s="3" t="s">
        <v>1051</v>
      </c>
      <c r="B87" s="1" t="s">
        <v>77</v>
      </c>
      <c r="C87" s="1" t="s">
        <v>80</v>
      </c>
      <c r="D87" s="69"/>
      <c r="E87" s="69"/>
      <c r="F87" s="3"/>
      <c r="G87" s="1" t="s">
        <v>1114</v>
      </c>
      <c r="H87" s="1"/>
      <c r="I87" s="70"/>
      <c r="J87" s="32">
        <f>IFERROR(VLOOKUP(C87,Lynette!$C$13:$D$1213,2,FALSE),0)</f>
      </c>
      <c r="K87" s="73">
        <v>1</v>
      </c>
    </row>
    <row x14ac:dyDescent="0.25" r="88" customHeight="1" ht="18.75">
      <c r="A88" s="3" t="s">
        <v>1051</v>
      </c>
      <c r="B88" s="1" t="s">
        <v>77</v>
      </c>
      <c r="C88" s="1" t="s">
        <v>81</v>
      </c>
      <c r="D88" s="69"/>
      <c r="E88" s="69"/>
      <c r="F88" s="3"/>
      <c r="G88" s="1" t="s">
        <v>1093</v>
      </c>
      <c r="H88" s="1"/>
      <c r="I88" s="70"/>
      <c r="J88" s="32">
        <f>IFERROR(VLOOKUP(C88,Lynette!$C$13:$D$1213,2,FALSE),0)</f>
      </c>
      <c r="K88" s="72">
        <f>E88/D88-1</f>
      </c>
    </row>
    <row x14ac:dyDescent="0.25" r="89" customHeight="1" ht="18.75">
      <c r="A89" s="3" t="s">
        <v>1051</v>
      </c>
      <c r="B89" s="1" t="s">
        <v>77</v>
      </c>
      <c r="C89" s="1" t="s">
        <v>82</v>
      </c>
      <c r="D89" s="69"/>
      <c r="E89" s="69"/>
      <c r="F89" s="3"/>
      <c r="G89" s="1" t="s">
        <v>1115</v>
      </c>
      <c r="H89" s="1"/>
      <c r="I89" s="70"/>
      <c r="J89" s="32">
        <f>IFERROR(VLOOKUP(C89,Lynette!$C$13:$D$1213,2,FALSE),0)</f>
      </c>
      <c r="K89" s="72">
        <f>E89/D89-1</f>
      </c>
    </row>
    <row x14ac:dyDescent="0.25" r="90" customHeight="1" ht="18.75">
      <c r="A90" s="3" t="s">
        <v>1051</v>
      </c>
      <c r="B90" s="1" t="s">
        <v>77</v>
      </c>
      <c r="C90" s="1" t="s">
        <v>130</v>
      </c>
      <c r="D90" s="69"/>
      <c r="E90" s="69"/>
      <c r="F90" s="3"/>
      <c r="G90" s="1" t="s">
        <v>1071</v>
      </c>
      <c r="H90" s="1" t="s">
        <v>1116</v>
      </c>
      <c r="I90" s="70"/>
      <c r="J90" s="32">
        <f>IFERROR(VLOOKUP(C90,Lynette!$C$13:$D$1213,2,FALSE),0)</f>
      </c>
      <c r="K90" s="72">
        <f>E90/D90-1</f>
      </c>
    </row>
    <row x14ac:dyDescent="0.25" r="91" customHeight="1" ht="18.75">
      <c r="A91" s="3" t="s">
        <v>1051</v>
      </c>
      <c r="B91" s="1" t="s">
        <v>77</v>
      </c>
      <c r="C91" s="1" t="s">
        <v>60</v>
      </c>
      <c r="D91" s="69"/>
      <c r="E91" s="69"/>
      <c r="F91" s="3"/>
      <c r="G91" s="1"/>
      <c r="H91" s="1"/>
      <c r="I91" s="70"/>
      <c r="J91" s="32">
        <f>IFERROR(VLOOKUP(C91,Lynette!$C$13:$D$1213,2,FALSE),0)</f>
      </c>
      <c r="K91" s="72">
        <f>E91/D91-1</f>
      </c>
    </row>
    <row x14ac:dyDescent="0.25" r="92" customHeight="1" ht="18.75">
      <c r="A92" s="3" t="s">
        <v>1051</v>
      </c>
      <c r="B92" s="1" t="s">
        <v>77</v>
      </c>
      <c r="C92" s="1" t="s">
        <v>1117</v>
      </c>
      <c r="D92" s="69"/>
      <c r="E92" s="69"/>
      <c r="F92" s="3"/>
      <c r="G92" s="1"/>
      <c r="H92" s="1"/>
      <c r="I92" s="70"/>
      <c r="J92" s="32">
        <f>IFERROR(VLOOKUP(C92,Lynette!$C$13:$D$1213,2,FALSE),0)</f>
      </c>
      <c r="K92" s="72">
        <f>E92/D92-1</f>
      </c>
    </row>
    <row x14ac:dyDescent="0.25" r="93" customHeight="1" ht="18.75">
      <c r="A93" s="3" t="s">
        <v>1051</v>
      </c>
      <c r="B93" s="1" t="s">
        <v>83</v>
      </c>
      <c r="C93" s="1" t="s">
        <v>78</v>
      </c>
      <c r="D93" s="69"/>
      <c r="E93" s="69"/>
      <c r="F93" s="3"/>
      <c r="G93" s="1" t="s">
        <v>1112</v>
      </c>
      <c r="H93" s="1"/>
      <c r="I93" s="70"/>
      <c r="J93" s="32">
        <f>IFERROR(VLOOKUP(C93,Lynette!$C$13:$D$1213,2,FALSE),0)</f>
      </c>
      <c r="K93" s="72">
        <f>E93/D93-1</f>
      </c>
    </row>
    <row x14ac:dyDescent="0.25" r="94" customHeight="1" ht="18.75">
      <c r="A94" s="3" t="s">
        <v>1051</v>
      </c>
      <c r="B94" s="1" t="s">
        <v>83</v>
      </c>
      <c r="C94" s="1" t="s">
        <v>84</v>
      </c>
      <c r="D94" s="69"/>
      <c r="E94" s="69"/>
      <c r="F94" s="3"/>
      <c r="G94" s="1" t="s">
        <v>1118</v>
      </c>
      <c r="H94" s="1"/>
      <c r="I94" s="70"/>
      <c r="J94" s="32">
        <f>IFERROR(VLOOKUP(C94,Lynette!$C$13:$D$1213,2,FALSE),0)</f>
      </c>
      <c r="K94" s="72">
        <f>E94/D94-1</f>
      </c>
    </row>
    <row x14ac:dyDescent="0.25" r="95" customHeight="1" ht="18.75">
      <c r="A95" s="3" t="s">
        <v>1051</v>
      </c>
      <c r="B95" s="1" t="s">
        <v>83</v>
      </c>
      <c r="C95" s="1" t="s">
        <v>85</v>
      </c>
      <c r="D95" s="69"/>
      <c r="E95" s="69"/>
      <c r="F95" s="3"/>
      <c r="G95" s="1" t="s">
        <v>1119</v>
      </c>
      <c r="H95" s="1"/>
      <c r="I95" s="70"/>
      <c r="J95" s="32">
        <f>IFERROR(VLOOKUP(C95,Lynette!$C$13:$D$1213,2,FALSE),0)</f>
      </c>
      <c r="K95" s="72">
        <f>E95/D95-1</f>
      </c>
    </row>
    <row x14ac:dyDescent="0.25" r="96" customHeight="1" ht="18.75">
      <c r="A96" s="3" t="s">
        <v>1051</v>
      </c>
      <c r="B96" s="1" t="s">
        <v>83</v>
      </c>
      <c r="C96" s="1" t="s">
        <v>86</v>
      </c>
      <c r="D96" s="69"/>
      <c r="E96" s="69"/>
      <c r="F96" s="3"/>
      <c r="G96" s="1" t="s">
        <v>1120</v>
      </c>
      <c r="H96" s="1"/>
      <c r="I96" s="70"/>
      <c r="J96" s="32">
        <f>IFERROR(VLOOKUP(C96,Lynette!$C$13:$D$1213,2,FALSE),0)</f>
      </c>
      <c r="K96" s="72">
        <f>E96/D96-1</f>
      </c>
    </row>
    <row x14ac:dyDescent="0.25" r="97" customHeight="1" ht="18.75">
      <c r="A97" s="3" t="s">
        <v>1051</v>
      </c>
      <c r="B97" s="1" t="s">
        <v>83</v>
      </c>
      <c r="C97" s="1" t="s">
        <v>131</v>
      </c>
      <c r="D97" s="69"/>
      <c r="E97" s="69"/>
      <c r="F97" s="3"/>
      <c r="G97" s="1" t="s">
        <v>1121</v>
      </c>
      <c r="H97" s="1" t="s">
        <v>1122</v>
      </c>
      <c r="I97" s="70"/>
      <c r="J97" s="32">
        <f>IFERROR(VLOOKUP(C97,Lynette!$C$13:$D$1213,2,FALSE),0)</f>
      </c>
      <c r="K97" s="72">
        <f>E97/D97-1</f>
      </c>
    </row>
    <row x14ac:dyDescent="0.25" r="98" customHeight="1" ht="18.75">
      <c r="A98" s="3" t="s">
        <v>1051</v>
      </c>
      <c r="B98" s="1" t="s">
        <v>83</v>
      </c>
      <c r="C98" s="1" t="s">
        <v>87</v>
      </c>
      <c r="D98" s="69"/>
      <c r="E98" s="69"/>
      <c r="F98" s="3"/>
      <c r="G98" s="1" t="s">
        <v>1107</v>
      </c>
      <c r="H98" s="1"/>
      <c r="I98" s="70"/>
      <c r="J98" s="32">
        <f>IFERROR(VLOOKUP(C98,Lynette!$C$13:$D$1213,2,FALSE),0)</f>
      </c>
      <c r="K98" s="72">
        <f>E98/D98-1</f>
      </c>
    </row>
    <row x14ac:dyDescent="0.25" r="99" customHeight="1" ht="18.75">
      <c r="A99" s="3"/>
      <c r="B99" s="1" t="s">
        <v>83</v>
      </c>
      <c r="C99" s="1" t="s">
        <v>132</v>
      </c>
      <c r="D99" s="69"/>
      <c r="E99" s="69"/>
      <c r="F99" s="3"/>
      <c r="G99" s="1" t="s">
        <v>1088</v>
      </c>
      <c r="H99" s="1" t="s">
        <v>1123</v>
      </c>
      <c r="I99" s="70"/>
      <c r="J99" s="32">
        <f>IFERROR(VLOOKUP(C99,Lynette!$C$13:$D$1213,2,FALSE),0)</f>
      </c>
      <c r="K99" s="73">
        <v>1</v>
      </c>
    </row>
    <row x14ac:dyDescent="0.25" r="100" customHeight="1" ht="18.75">
      <c r="A100" s="3" t="s">
        <v>1051</v>
      </c>
      <c r="B100" s="1" t="s">
        <v>83</v>
      </c>
      <c r="C100" s="1" t="s">
        <v>88</v>
      </c>
      <c r="D100" s="69"/>
      <c r="E100" s="69"/>
      <c r="F100" s="3"/>
      <c r="G100" s="1" t="s">
        <v>1124</v>
      </c>
      <c r="H100" s="1"/>
      <c r="I100" s="70"/>
      <c r="J100" s="32">
        <f>IFERROR(VLOOKUP(C100,Lynette!$C$13:$D$1213,2,FALSE),0)</f>
      </c>
      <c r="K100" s="72">
        <f>E100/D100-1</f>
      </c>
    </row>
    <row x14ac:dyDescent="0.25" r="101" customHeight="1" ht="18.75">
      <c r="A101" s="3" t="s">
        <v>1051</v>
      </c>
      <c r="B101" s="1" t="s">
        <v>83</v>
      </c>
      <c r="C101" s="1" t="s">
        <v>133</v>
      </c>
      <c r="D101" s="69"/>
      <c r="E101" s="69"/>
      <c r="F101" s="3"/>
      <c r="G101" s="1" t="s">
        <v>1125</v>
      </c>
      <c r="H101" s="1" t="s">
        <v>1126</v>
      </c>
      <c r="I101" s="70"/>
      <c r="J101" s="32">
        <f>IFERROR(VLOOKUP(C101,Lynette!$C$13:$D$1213,2,FALSE),0)</f>
      </c>
      <c r="K101" s="72">
        <f>E101/D101-1</f>
      </c>
    </row>
    <row x14ac:dyDescent="0.25" r="102" customHeight="1" ht="18.75">
      <c r="A102" s="3" t="s">
        <v>1051</v>
      </c>
      <c r="B102" s="1" t="s">
        <v>83</v>
      </c>
      <c r="C102" s="1" t="s">
        <v>90</v>
      </c>
      <c r="D102" s="69"/>
      <c r="E102" s="69"/>
      <c r="F102" s="3"/>
      <c r="G102" s="1" t="s">
        <v>1127</v>
      </c>
      <c r="H102" s="1"/>
      <c r="I102" s="70"/>
      <c r="J102" s="32">
        <f>IFERROR(VLOOKUP(C102,Lynette!$C$13:$D$1213,2,FALSE),0)</f>
      </c>
      <c r="K102" s="72">
        <f>E102/D102-1</f>
      </c>
    </row>
    <row x14ac:dyDescent="0.25" r="103" customHeight="1" ht="18.75">
      <c r="A103" s="3"/>
      <c r="B103" s="1" t="s">
        <v>83</v>
      </c>
      <c r="C103" s="1" t="s">
        <v>92</v>
      </c>
      <c r="D103" s="69"/>
      <c r="E103" s="69"/>
      <c r="F103" s="3"/>
      <c r="G103" s="1" t="s">
        <v>1128</v>
      </c>
      <c r="H103" s="1"/>
      <c r="I103" s="70"/>
      <c r="J103" s="32">
        <f>IFERROR(VLOOKUP(C103,Lynette!$C$13:$D$1213,2,FALSE),0)</f>
      </c>
      <c r="K103" s="72">
        <f>E103/D103-1</f>
      </c>
    </row>
    <row x14ac:dyDescent="0.25" r="104" customHeight="1" ht="18.75">
      <c r="A104" s="3" t="s">
        <v>1051</v>
      </c>
      <c r="B104" s="1" t="s">
        <v>83</v>
      </c>
      <c r="C104" s="1" t="s">
        <v>93</v>
      </c>
      <c r="D104" s="69"/>
      <c r="E104" s="69"/>
      <c r="F104" s="3"/>
      <c r="G104" s="1" t="s">
        <v>1077</v>
      </c>
      <c r="H104" s="1"/>
      <c r="I104" s="70"/>
      <c r="J104" s="32">
        <f>IFERROR(VLOOKUP(C104,Lynette!$C$13:$D$1213,2,FALSE),0)</f>
      </c>
      <c r="K104" s="72">
        <f>E104/D104-1</f>
      </c>
    </row>
    <row x14ac:dyDescent="0.25" r="105" customHeight="1" ht="18.75">
      <c r="A105" s="3" t="s">
        <v>1051</v>
      </c>
      <c r="B105" s="1" t="s">
        <v>83</v>
      </c>
      <c r="C105" s="1" t="s">
        <v>94</v>
      </c>
      <c r="D105" s="69"/>
      <c r="E105" s="69"/>
      <c r="F105" s="3"/>
      <c r="G105" s="1" t="s">
        <v>1129</v>
      </c>
      <c r="H105" s="1"/>
      <c r="I105" s="70"/>
      <c r="J105" s="32">
        <f>IFERROR(VLOOKUP(C105,Lynette!$C$13:$D$1213,2,FALSE),0)</f>
      </c>
      <c r="K105" s="72">
        <f>E105/D105-1</f>
      </c>
    </row>
    <row x14ac:dyDescent="0.25" r="106" customHeight="1" ht="18.75">
      <c r="A106" s="3" t="s">
        <v>1051</v>
      </c>
      <c r="B106" s="1" t="s">
        <v>83</v>
      </c>
      <c r="C106" s="1" t="s">
        <v>95</v>
      </c>
      <c r="D106" s="69"/>
      <c r="E106" s="69"/>
      <c r="F106" s="3"/>
      <c r="G106" s="1" t="s">
        <v>1078</v>
      </c>
      <c r="H106" s="1"/>
      <c r="I106" s="70"/>
      <c r="J106" s="32">
        <f>IFERROR(VLOOKUP(C106,Lynette!$C$13:$D$1213,2,FALSE),0)</f>
      </c>
      <c r="K106" s="72">
        <f>E106/D106-1</f>
      </c>
    </row>
    <row x14ac:dyDescent="0.25" r="107" customHeight="1" ht="18.75">
      <c r="A107" s="3" t="s">
        <v>1051</v>
      </c>
      <c r="B107" s="1" t="s">
        <v>83</v>
      </c>
      <c r="C107" s="1" t="s">
        <v>60</v>
      </c>
      <c r="D107" s="69"/>
      <c r="E107" s="69"/>
      <c r="F107" s="3"/>
      <c r="G107" s="1"/>
      <c r="H107" s="1"/>
      <c r="I107" s="70"/>
      <c r="J107" s="32">
        <f>IFERROR(VLOOKUP(C107,Lynette!$C$13:$D$1213,2,FALSE),0)</f>
      </c>
      <c r="K107" s="72">
        <f>E107/D107-1</f>
      </c>
    </row>
    <row x14ac:dyDescent="0.25" r="108" customHeight="1" ht="18.75">
      <c r="A108" s="3" t="s">
        <v>1051</v>
      </c>
      <c r="B108" s="1" t="s">
        <v>83</v>
      </c>
      <c r="C108" s="1" t="s">
        <v>1130</v>
      </c>
      <c r="D108" s="69"/>
      <c r="E108" s="69"/>
      <c r="F108" s="3"/>
      <c r="G108" s="1"/>
      <c r="H108" s="1"/>
      <c r="I108" s="70"/>
      <c r="J108" s="32">
        <f>IFERROR(VLOOKUP(C108,Lynette!$C$13:$D$1213,2,FALSE),0)</f>
      </c>
      <c r="K108" s="72">
        <f>E108/D108-1</f>
      </c>
    </row>
    <row x14ac:dyDescent="0.25" r="109" customHeight="1" ht="18.75">
      <c r="A109" s="3" t="s">
        <v>1051</v>
      </c>
      <c r="B109" s="1" t="s">
        <v>83</v>
      </c>
      <c r="C109" s="1" t="s">
        <v>1131</v>
      </c>
      <c r="D109" s="69"/>
      <c r="E109" s="69"/>
      <c r="F109" s="3"/>
      <c r="G109" s="1"/>
      <c r="H109" s="1"/>
      <c r="I109" s="70"/>
      <c r="J109" s="32">
        <f>IFERROR(VLOOKUP(C109,Lynette!$C$13:$D$1213,2,FALSE),0)</f>
      </c>
      <c r="K109" s="72">
        <f>E109/D109-1</f>
      </c>
    </row>
    <row x14ac:dyDescent="0.25" r="110" customHeight="1" ht="18.75">
      <c r="A110" s="3" t="s">
        <v>1051</v>
      </c>
      <c r="B110" s="1" t="s">
        <v>96</v>
      </c>
      <c r="C110" s="1" t="s">
        <v>97</v>
      </c>
      <c r="D110" s="69"/>
      <c r="E110" s="69"/>
      <c r="F110" s="3"/>
      <c r="G110" s="1" t="s">
        <v>1132</v>
      </c>
      <c r="H110" s="1"/>
      <c r="I110" s="70"/>
      <c r="J110" s="32">
        <f>IFERROR(VLOOKUP(C110,Lynette!$C$13:$D$1213,2,FALSE),0)</f>
      </c>
      <c r="K110" s="72">
        <f>E110/D110-1</f>
      </c>
    </row>
    <row x14ac:dyDescent="0.25" r="111" customHeight="1" ht="18.75">
      <c r="A111" s="3" t="s">
        <v>1051</v>
      </c>
      <c r="B111" s="1" t="s">
        <v>96</v>
      </c>
      <c r="C111" s="1" t="s">
        <v>98</v>
      </c>
      <c r="D111" s="69"/>
      <c r="E111" s="69"/>
      <c r="F111" s="3"/>
      <c r="G111" s="1" t="s">
        <v>1133</v>
      </c>
      <c r="H111" s="1"/>
      <c r="I111" s="70"/>
      <c r="J111" s="32">
        <f>IFERROR(VLOOKUP(C111,Lynette!$C$13:$D$1213,2,FALSE),0)</f>
      </c>
      <c r="K111" s="72">
        <f>E111/D111-1</f>
      </c>
    </row>
    <row x14ac:dyDescent="0.25" r="112" customHeight="1" ht="18.75">
      <c r="A112" s="3" t="s">
        <v>1051</v>
      </c>
      <c r="B112" s="1" t="s">
        <v>96</v>
      </c>
      <c r="C112" s="1" t="s">
        <v>99</v>
      </c>
      <c r="D112" s="69"/>
      <c r="E112" s="69"/>
      <c r="F112" s="3"/>
      <c r="G112" s="1" t="s">
        <v>1134</v>
      </c>
      <c r="H112" s="1"/>
      <c r="I112" s="70"/>
      <c r="J112" s="32">
        <f>IFERROR(VLOOKUP(C112,Lynette!$C$13:$D$1213,2,FALSE),0)</f>
      </c>
      <c r="K112" s="72">
        <f>E112/D112-1</f>
      </c>
    </row>
    <row x14ac:dyDescent="0.25" r="113" customHeight="1" ht="18.75">
      <c r="A113" s="3" t="s">
        <v>1051</v>
      </c>
      <c r="B113" s="1" t="s">
        <v>96</v>
      </c>
      <c r="C113" s="1" t="s">
        <v>100</v>
      </c>
      <c r="D113" s="69"/>
      <c r="E113" s="69"/>
      <c r="F113" s="3"/>
      <c r="G113" s="1" t="s">
        <v>1135</v>
      </c>
      <c r="H113" s="1"/>
      <c r="I113" s="70"/>
      <c r="J113" s="32">
        <f>IFERROR(VLOOKUP(C113,Lynette!$C$13:$D$1213,2,FALSE),0)</f>
      </c>
      <c r="K113" s="72">
        <f>E113/D113-1</f>
      </c>
    </row>
    <row x14ac:dyDescent="0.25" r="114" customHeight="1" ht="18.75">
      <c r="A114" s="3" t="s">
        <v>1051</v>
      </c>
      <c r="B114" s="1" t="s">
        <v>96</v>
      </c>
      <c r="C114" s="1" t="s">
        <v>101</v>
      </c>
      <c r="D114" s="69"/>
      <c r="E114" s="69"/>
      <c r="F114" s="3"/>
      <c r="G114" s="1" t="s">
        <v>1136</v>
      </c>
      <c r="H114" s="1"/>
      <c r="I114" s="70"/>
      <c r="J114" s="32">
        <f>IFERROR(VLOOKUP(C114,Lynette!$C$13:$D$1213,2,FALSE),0)</f>
      </c>
      <c r="K114" s="72">
        <f>E114/D114-1</f>
      </c>
    </row>
    <row x14ac:dyDescent="0.25" r="115" customHeight="1" ht="18.75">
      <c r="A115" s="3" t="s">
        <v>1051</v>
      </c>
      <c r="B115" s="1" t="s">
        <v>96</v>
      </c>
      <c r="C115" s="1" t="s">
        <v>134</v>
      </c>
      <c r="D115" s="69"/>
      <c r="E115" s="69"/>
      <c r="F115" s="3"/>
      <c r="G115" s="1" t="s">
        <v>1137</v>
      </c>
      <c r="H115" s="1"/>
      <c r="I115" s="70"/>
      <c r="J115" s="32">
        <f>IFERROR(VLOOKUP(C115,Lynette!$C$13:$D$1213,2,FALSE),0)</f>
      </c>
      <c r="K115" s="72">
        <f>E115/D115-1</f>
      </c>
    </row>
    <row x14ac:dyDescent="0.25" r="116" customHeight="1" ht="18.75">
      <c r="A116" s="3"/>
      <c r="B116" s="1" t="s">
        <v>96</v>
      </c>
      <c r="C116" s="1" t="s">
        <v>102</v>
      </c>
      <c r="D116" s="69"/>
      <c r="E116" s="69"/>
      <c r="F116" s="3"/>
      <c r="G116" s="1" t="s">
        <v>1138</v>
      </c>
      <c r="H116" s="1"/>
      <c r="I116" s="70"/>
      <c r="J116" s="32">
        <f>IFERROR(VLOOKUP(C116,Lynette!$C$13:$D$1213,2,FALSE),0)</f>
      </c>
      <c r="K116" s="72">
        <f>E116/D116-1</f>
      </c>
    </row>
    <row x14ac:dyDescent="0.25" r="117" customHeight="1" ht="18.75">
      <c r="A117" s="3" t="s">
        <v>1051</v>
      </c>
      <c r="B117" s="1" t="s">
        <v>96</v>
      </c>
      <c r="C117" s="1" t="s">
        <v>103</v>
      </c>
      <c r="D117" s="69"/>
      <c r="E117" s="69"/>
      <c r="F117" s="3"/>
      <c r="G117" s="1" t="s">
        <v>1065</v>
      </c>
      <c r="H117" s="1"/>
      <c r="I117" s="70"/>
      <c r="J117" s="32">
        <f>IFERROR(VLOOKUP(C117,Lynette!$C$13:$D$1213,2,FALSE),0)</f>
      </c>
      <c r="K117" s="72">
        <f>E117/D117-1</f>
      </c>
    </row>
    <row x14ac:dyDescent="0.25" r="118" customHeight="1" ht="18.75">
      <c r="A118" s="3" t="s">
        <v>1051</v>
      </c>
      <c r="B118" s="1" t="s">
        <v>96</v>
      </c>
      <c r="C118" s="1" t="s">
        <v>104</v>
      </c>
      <c r="D118" s="69"/>
      <c r="E118" s="69"/>
      <c r="F118" s="3"/>
      <c r="G118" s="1" t="s">
        <v>1139</v>
      </c>
      <c r="H118" s="1"/>
      <c r="I118" s="70"/>
      <c r="J118" s="32">
        <f>IFERROR(VLOOKUP(C118,Lynette!$C$13:$D$1213,2,FALSE),0)</f>
      </c>
      <c r="K118" s="72">
        <f>E118/D118-1</f>
      </c>
    </row>
    <row x14ac:dyDescent="0.25" r="119" customHeight="1" ht="18.75">
      <c r="A119" s="3" t="s">
        <v>1051</v>
      </c>
      <c r="B119" s="1" t="s">
        <v>96</v>
      </c>
      <c r="C119" s="1" t="s">
        <v>105</v>
      </c>
      <c r="D119" s="69"/>
      <c r="E119" s="69"/>
      <c r="F119" s="3"/>
      <c r="G119" s="1" t="s">
        <v>1140</v>
      </c>
      <c r="H119" s="1"/>
      <c r="I119" s="70"/>
      <c r="J119" s="32">
        <f>IFERROR(VLOOKUP(C119,Lynette!$C$13:$D$1213,2,FALSE),0)</f>
      </c>
      <c r="K119" s="72">
        <f>E119/D119-1</f>
      </c>
    </row>
    <row x14ac:dyDescent="0.25" r="120" customHeight="1" ht="18.75">
      <c r="A120" s="3" t="s">
        <v>1051</v>
      </c>
      <c r="B120" s="1" t="s">
        <v>96</v>
      </c>
      <c r="C120" s="1" t="s">
        <v>106</v>
      </c>
      <c r="D120" s="69"/>
      <c r="E120" s="69"/>
      <c r="F120" s="3"/>
      <c r="G120" s="1" t="s">
        <v>1077</v>
      </c>
      <c r="H120" s="1"/>
      <c r="I120" s="70"/>
      <c r="J120" s="32">
        <f>IFERROR(VLOOKUP(C120,Lynette!$C$13:$D$1213,2,FALSE),0)</f>
      </c>
      <c r="K120" s="72">
        <f>E120/D120-1</f>
      </c>
    </row>
    <row x14ac:dyDescent="0.25" r="121" customHeight="1" ht="18.75">
      <c r="A121" s="3"/>
      <c r="B121" s="1" t="s">
        <v>96</v>
      </c>
      <c r="C121" s="1" t="s">
        <v>108</v>
      </c>
      <c r="D121" s="69"/>
      <c r="E121" s="69"/>
      <c r="F121" s="3"/>
      <c r="G121" s="1" t="s">
        <v>1083</v>
      </c>
      <c r="H121" s="1"/>
      <c r="I121" s="70"/>
      <c r="J121" s="32">
        <f>IFERROR(VLOOKUP(C121,Lynette!$C$13:$D$1213,2,FALSE),0)</f>
      </c>
      <c r="K121" s="72">
        <f>E121/D121-1</f>
      </c>
    </row>
    <row x14ac:dyDescent="0.25" r="122" customHeight="1" ht="18.75">
      <c r="A122" s="3" t="s">
        <v>1051</v>
      </c>
      <c r="B122" s="1" t="s">
        <v>96</v>
      </c>
      <c r="C122" s="1" t="s">
        <v>109</v>
      </c>
      <c r="D122" s="69"/>
      <c r="E122" s="69"/>
      <c r="F122" s="3"/>
      <c r="G122" s="1" t="s">
        <v>1141</v>
      </c>
      <c r="H122" s="1"/>
      <c r="I122" s="70"/>
      <c r="J122" s="32">
        <f>IFERROR(VLOOKUP(C122,Lynette!$C$13:$D$1213,2,FALSE),0)</f>
      </c>
      <c r="K122" s="72">
        <f>E122/D122-1</f>
      </c>
    </row>
    <row x14ac:dyDescent="0.25" r="123" customHeight="1" ht="18.75">
      <c r="A123" s="3" t="s">
        <v>1051</v>
      </c>
      <c r="B123" s="1" t="s">
        <v>96</v>
      </c>
      <c r="C123" s="1" t="s">
        <v>110</v>
      </c>
      <c r="D123" s="69"/>
      <c r="E123" s="69"/>
      <c r="F123" s="3"/>
      <c r="G123" s="1"/>
      <c r="H123" s="1"/>
      <c r="I123" s="70"/>
      <c r="J123" s="32">
        <f>IFERROR(VLOOKUP(C123,Lynette!$C$13:$D$1213,2,FALSE),0)</f>
      </c>
      <c r="K123" s="72">
        <f>E123/D123-1</f>
      </c>
    </row>
    <row x14ac:dyDescent="0.25" r="124" customHeight="1" ht="18.75">
      <c r="A124" s="3" t="s">
        <v>1051</v>
      </c>
      <c r="B124" s="1" t="s">
        <v>96</v>
      </c>
      <c r="C124" s="1" t="s">
        <v>60</v>
      </c>
      <c r="D124" s="69"/>
      <c r="E124" s="69"/>
      <c r="F124" s="3"/>
      <c r="G124" s="1"/>
      <c r="H124" s="1"/>
      <c r="I124" s="70"/>
      <c r="J124" s="32">
        <f>IFERROR(VLOOKUP(C124,Lynette!$C$13:$D$1213,2,FALSE),0)</f>
      </c>
      <c r="K124" s="72">
        <f>E124/D124-1</f>
      </c>
    </row>
    <row x14ac:dyDescent="0.25" r="125" customHeight="1" ht="18.75">
      <c r="A125" s="3" t="s">
        <v>1051</v>
      </c>
      <c r="B125" s="1" t="s">
        <v>111</v>
      </c>
      <c r="C125" s="1" t="s">
        <v>112</v>
      </c>
      <c r="D125" s="69"/>
      <c r="E125" s="69"/>
      <c r="F125" s="3"/>
      <c r="G125" s="1" t="s">
        <v>1142</v>
      </c>
      <c r="H125" s="1"/>
      <c r="I125" s="70"/>
      <c r="J125" s="32">
        <f>IFERROR(VLOOKUP(C125,Lynette!$C$13:$D$1213,2,FALSE),0)</f>
      </c>
      <c r="K125" s="72">
        <f>E125/D125-1</f>
      </c>
    </row>
    <row x14ac:dyDescent="0.25" r="126" customHeight="1" ht="18.75">
      <c r="A126" s="3"/>
      <c r="B126" s="1" t="s">
        <v>113</v>
      </c>
      <c r="C126" s="1" t="s">
        <v>114</v>
      </c>
      <c r="D126" s="69"/>
      <c r="E126" s="69"/>
      <c r="F126" s="3"/>
      <c r="G126" s="1" t="s">
        <v>1139</v>
      </c>
      <c r="H126" s="1"/>
      <c r="I126" s="70"/>
      <c r="J126" s="32">
        <f>IFERROR(VLOOKUP(C126,Lynette!$C$13:$D$1213,2,FALSE),0)</f>
      </c>
      <c r="K126" s="72">
        <f>E126/D126-1</f>
      </c>
    </row>
    <row x14ac:dyDescent="0.25" r="127" customHeight="1" ht="18.75">
      <c r="A127" s="3" t="s">
        <v>1051</v>
      </c>
      <c r="B127" s="1" t="s">
        <v>113</v>
      </c>
      <c r="C127" s="1" t="s">
        <v>1117</v>
      </c>
      <c r="D127" s="69"/>
      <c r="E127" s="69"/>
      <c r="F127" s="3"/>
      <c r="G127" s="1"/>
      <c r="H127" s="1"/>
      <c r="I127" s="70"/>
      <c r="J127" s="32">
        <f>IFERROR(VLOOKUP(C127,Lynette!$C$13:$D$1213,2,FALSE),0)</f>
      </c>
      <c r="K127" s="72">
        <f>E127/D127-1</f>
      </c>
    </row>
    <row x14ac:dyDescent="0.25" r="128" customHeight="1" ht="18.75">
      <c r="A128" s="3" t="s">
        <v>1051</v>
      </c>
      <c r="B128" s="1" t="s">
        <v>115</v>
      </c>
      <c r="C128" s="1" t="s">
        <v>116</v>
      </c>
      <c r="D128" s="69"/>
      <c r="E128" s="69"/>
      <c r="F128" s="3"/>
      <c r="G128" s="1" t="s">
        <v>1143</v>
      </c>
      <c r="H128" s="1"/>
      <c r="I128" s="70"/>
      <c r="J128" s="32">
        <f>IFERROR(VLOOKUP(C128,Lynette!$C$13:$D$1213,2,FALSE),0)</f>
      </c>
      <c r="K128" s="72">
        <f>E128/D128-1</f>
      </c>
    </row>
    <row x14ac:dyDescent="0.25" r="129" customHeight="1" ht="18.75">
      <c r="A129" s="3" t="s">
        <v>1051</v>
      </c>
      <c r="B129" s="1" t="s">
        <v>115</v>
      </c>
      <c r="C129" s="1" t="s">
        <v>60</v>
      </c>
      <c r="D129" s="69"/>
      <c r="E129" s="69"/>
      <c r="F129" s="3"/>
      <c r="G129" s="1"/>
      <c r="H129" s="1"/>
      <c r="I129" s="70"/>
      <c r="J129" s="32">
        <f>IFERROR(VLOOKUP(C129,Lynette!$C$13:$D$1213,2,FALSE),0)</f>
      </c>
      <c r="K129" s="72">
        <f>E129/D129-1</f>
      </c>
    </row>
    <row x14ac:dyDescent="0.25" r="130" customHeight="1" ht="18.75">
      <c r="A130" s="3" t="s">
        <v>1051</v>
      </c>
      <c r="B130" s="1" t="s">
        <v>115</v>
      </c>
      <c r="C130" s="1" t="s">
        <v>1117</v>
      </c>
      <c r="D130" s="69"/>
      <c r="E130" s="69"/>
      <c r="F130" s="3"/>
      <c r="G130" s="1"/>
      <c r="H130" s="1"/>
      <c r="I130" s="70"/>
      <c r="J130" s="32">
        <f>IFERROR(VLOOKUP(C130,Lynette!$C$13:$D$1213,2,FALSE),0)</f>
      </c>
      <c r="K130" s="72">
        <f>E130/D130-1</f>
      </c>
    </row>
    <row x14ac:dyDescent="0.25" r="131" customHeight="1" ht="18.75">
      <c r="A131" s="3" t="s">
        <v>1051</v>
      </c>
      <c r="B131" s="1" t="s">
        <v>115</v>
      </c>
      <c r="C131" s="1" t="s">
        <v>1098</v>
      </c>
      <c r="D131" s="69"/>
      <c r="E131" s="69"/>
      <c r="F131" s="3"/>
      <c r="G131" s="1"/>
      <c r="H131" s="1"/>
      <c r="I131" s="70"/>
      <c r="J131" s="32">
        <f>IFERROR(VLOOKUP(C131,Lynette!$C$13:$D$1213,2,FALSE),0)</f>
      </c>
      <c r="K131" s="72">
        <f>E131/D131-1</f>
      </c>
    </row>
    <row x14ac:dyDescent="0.25" r="132" customHeight="1" ht="18.75">
      <c r="A132" s="3" t="s">
        <v>1051</v>
      </c>
      <c r="B132" s="1" t="s">
        <v>118</v>
      </c>
      <c r="C132" s="1" t="s">
        <v>119</v>
      </c>
      <c r="D132" s="69"/>
      <c r="E132" s="69"/>
      <c r="F132" s="3"/>
      <c r="G132" s="1" t="s">
        <v>1144</v>
      </c>
      <c r="H132" s="1"/>
      <c r="I132" s="70"/>
      <c r="J132" s="32">
        <f>IFERROR(VLOOKUP(C132,Lynette!$C$13:$D$1213,2,FALSE),0)</f>
      </c>
      <c r="K132" s="72">
        <f>E132/D132-1</f>
      </c>
    </row>
    <row x14ac:dyDescent="0.25" r="133" customHeight="1" ht="18.75">
      <c r="A133" s="3" t="s">
        <v>1051</v>
      </c>
      <c r="B133" s="1"/>
      <c r="C133" s="1"/>
      <c r="D133" s="69"/>
      <c r="E133" s="69"/>
      <c r="F133" s="4"/>
      <c r="G133" s="1"/>
      <c r="H133" s="1"/>
      <c r="I133" s="70"/>
      <c r="J133" s="3"/>
      <c r="K133" s="73"/>
    </row>
    <row x14ac:dyDescent="0.25" r="134" customHeight="1" ht="18.75">
      <c r="A134" s="3" t="s">
        <v>1051</v>
      </c>
      <c r="B134" s="1"/>
      <c r="C134" s="1"/>
      <c r="D134" s="69"/>
      <c r="E134" s="69"/>
      <c r="F134" s="4"/>
      <c r="G134" s="1"/>
      <c r="H134" s="1"/>
      <c r="I134" s="70"/>
      <c r="J134" s="3"/>
      <c r="K134" s="73"/>
    </row>
    <row x14ac:dyDescent="0.25" r="135" customHeight="1" ht="18.75">
      <c r="A135" s="3" t="s">
        <v>1051</v>
      </c>
      <c r="B135" s="1"/>
      <c r="C135" s="1"/>
      <c r="D135" s="69"/>
      <c r="E135" s="69"/>
      <c r="F135" s="4"/>
      <c r="G135" s="1"/>
      <c r="H135" s="1"/>
      <c r="I135" s="70"/>
      <c r="J135" s="3"/>
      <c r="K135" s="73"/>
    </row>
    <row x14ac:dyDescent="0.25" r="136" customHeight="1" ht="18.75">
      <c r="A136" s="3" t="s">
        <v>1051</v>
      </c>
      <c r="B136" s="1"/>
      <c r="C136" s="1"/>
      <c r="D136" s="69"/>
      <c r="E136" s="69"/>
      <c r="F136" s="4"/>
      <c r="G136" s="1"/>
      <c r="H136" s="1"/>
      <c r="I136" s="70"/>
      <c r="J136" s="3"/>
      <c r="K136" s="73"/>
    </row>
    <row x14ac:dyDescent="0.25" r="137" customHeight="1" ht="18.75">
      <c r="A137" s="3" t="s">
        <v>1051</v>
      </c>
      <c r="B137" s="1"/>
      <c r="C137" s="1"/>
      <c r="D137" s="69"/>
      <c r="E137" s="69"/>
      <c r="F137" s="4"/>
      <c r="G137" s="1"/>
      <c r="H137" s="1"/>
      <c r="I137" s="70"/>
      <c r="J137" s="3"/>
      <c r="K137" s="73"/>
    </row>
    <row x14ac:dyDescent="0.25" r="138" customHeight="1" ht="18.75">
      <c r="A138" s="3" t="s">
        <v>1051</v>
      </c>
      <c r="B138" s="1"/>
      <c r="C138" s="1"/>
      <c r="D138" s="69"/>
      <c r="E138" s="69"/>
      <c r="F138" s="4"/>
      <c r="G138" s="1"/>
      <c r="H138" s="1"/>
      <c r="I138" s="70"/>
      <c r="J138" s="3"/>
      <c r="K138" s="73"/>
    </row>
    <row x14ac:dyDescent="0.25" r="139" customHeight="1" ht="18.75">
      <c r="A139" s="3" t="s">
        <v>1051</v>
      </c>
      <c r="B139" s="1"/>
      <c r="C139" s="1"/>
      <c r="D139" s="69"/>
      <c r="E139" s="69"/>
      <c r="F139" s="4"/>
      <c r="G139" s="1"/>
      <c r="H139" s="1"/>
      <c r="I139" s="70"/>
      <c r="J139" s="3"/>
      <c r="K139" s="73"/>
    </row>
    <row x14ac:dyDescent="0.25" r="140" customHeight="1" ht="18.75">
      <c r="A140" s="3" t="s">
        <v>1051</v>
      </c>
      <c r="B140" s="1"/>
      <c r="C140" s="1"/>
      <c r="D140" s="69"/>
      <c r="E140" s="69"/>
      <c r="F140" s="4"/>
      <c r="G140" s="1"/>
      <c r="H140" s="1"/>
      <c r="I140" s="70"/>
      <c r="J140" s="3"/>
      <c r="K140" s="73"/>
    </row>
    <row x14ac:dyDescent="0.25" r="141" customHeight="1" ht="18.75">
      <c r="A141" s="3" t="s">
        <v>1051</v>
      </c>
      <c r="B141" s="1"/>
      <c r="C141" s="1"/>
      <c r="D141" s="69"/>
      <c r="E141" s="69"/>
      <c r="F141" s="4"/>
      <c r="G141" s="1"/>
      <c r="H141" s="1"/>
      <c r="I141" s="70"/>
      <c r="J141" s="3"/>
      <c r="K141" s="73"/>
    </row>
    <row x14ac:dyDescent="0.25" r="142" customHeight="1" ht="18.75">
      <c r="A142" s="3" t="s">
        <v>1051</v>
      </c>
      <c r="B142" s="1"/>
      <c r="C142" s="1"/>
      <c r="D142" s="4"/>
      <c r="E142" s="4"/>
      <c r="F142" s="4"/>
      <c r="G142" s="1"/>
      <c r="H142" s="1"/>
      <c r="I142" s="70"/>
      <c r="J142" s="3"/>
      <c r="K142" s="73"/>
    </row>
    <row x14ac:dyDescent="0.25" r="143" customHeight="1" ht="18.75">
      <c r="A143" s="3" t="s">
        <v>1051</v>
      </c>
      <c r="B143" s="1"/>
      <c r="C143" s="1"/>
      <c r="D143" s="4"/>
      <c r="E143" s="4"/>
      <c r="F143" s="4"/>
      <c r="G143" s="1"/>
      <c r="H143" s="1"/>
      <c r="I143" s="70"/>
      <c r="J143" s="3"/>
      <c r="K143" s="73"/>
    </row>
    <row x14ac:dyDescent="0.25" r="144" customHeight="1" ht="18.75">
      <c r="A144" s="3"/>
      <c r="B144" s="1"/>
      <c r="C144" s="1"/>
      <c r="D144" s="4"/>
      <c r="E144" s="4"/>
      <c r="F144" s="4"/>
      <c r="G144" s="1"/>
      <c r="H144" s="1"/>
      <c r="I144" s="70"/>
      <c r="J144" s="3"/>
      <c r="K144" s="73"/>
    </row>
    <row x14ac:dyDescent="0.25" r="145" customHeight="1" ht="18.75">
      <c r="A145" s="3" t="s">
        <v>1051</v>
      </c>
      <c r="B145" s="1"/>
      <c r="C145" s="1"/>
      <c r="D145" s="4"/>
      <c r="E145" s="4"/>
      <c r="F145" s="4"/>
      <c r="G145" s="1"/>
      <c r="H145" s="1"/>
      <c r="I145" s="70"/>
      <c r="J145" s="3"/>
      <c r="K145" s="73"/>
    </row>
    <row x14ac:dyDescent="0.25" r="146" customHeight="1" ht="18.75">
      <c r="A146" s="3" t="s">
        <v>1051</v>
      </c>
      <c r="B146" s="1"/>
      <c r="C146" s="1"/>
      <c r="D146" s="4"/>
      <c r="E146" s="4"/>
      <c r="F146" s="4"/>
      <c r="G146" s="1"/>
      <c r="H146" s="1"/>
      <c r="I146" s="70"/>
      <c r="J146" s="3"/>
      <c r="K146" s="73"/>
    </row>
    <row x14ac:dyDescent="0.25" r="147" customHeight="1" ht="18.75">
      <c r="A147" s="3" t="s">
        <v>1051</v>
      </c>
      <c r="B147" s="1"/>
      <c r="C147" s="1"/>
      <c r="D147" s="4"/>
      <c r="E147" s="4"/>
      <c r="F147" s="4"/>
      <c r="G147" s="1"/>
      <c r="H147" s="1"/>
      <c r="I147" s="70"/>
      <c r="J147" s="3"/>
      <c r="K147" s="73"/>
    </row>
    <row x14ac:dyDescent="0.25" r="148" customHeight="1" ht="18.75">
      <c r="A148" s="3" t="s">
        <v>1051</v>
      </c>
      <c r="B148" s="1"/>
      <c r="C148" s="1"/>
      <c r="D148" s="4"/>
      <c r="E148" s="4"/>
      <c r="F148" s="4"/>
      <c r="G148" s="1"/>
      <c r="H148" s="1"/>
      <c r="I148" s="70"/>
      <c r="J148" s="3"/>
      <c r="K148" s="73"/>
    </row>
    <row x14ac:dyDescent="0.25" r="149" customHeight="1" ht="18.75">
      <c r="A149" s="3" t="s">
        <v>1051</v>
      </c>
      <c r="B149" s="1"/>
      <c r="C149" s="1"/>
      <c r="D149" s="4"/>
      <c r="E149" s="4"/>
      <c r="F149" s="4"/>
      <c r="G149" s="1"/>
      <c r="H149" s="1"/>
      <c r="I149" s="70"/>
      <c r="J149" s="3"/>
      <c r="K149" s="73"/>
    </row>
    <row x14ac:dyDescent="0.25" r="150" customHeight="1" ht="18.75">
      <c r="A150" s="3" t="s">
        <v>1051</v>
      </c>
      <c r="B150" s="1"/>
      <c r="C150" s="1"/>
      <c r="D150" s="4"/>
      <c r="E150" s="4"/>
      <c r="F150" s="4"/>
      <c r="G150" s="1"/>
      <c r="H150" s="1"/>
      <c r="I150" s="70"/>
      <c r="J150" s="3"/>
      <c r="K150" s="73"/>
    </row>
    <row x14ac:dyDescent="0.25" r="151" customHeight="1" ht="18.75">
      <c r="A151" s="3" t="s">
        <v>1051</v>
      </c>
      <c r="B151" s="1"/>
      <c r="C151" s="1"/>
      <c r="D151" s="4"/>
      <c r="E151" s="4"/>
      <c r="F151" s="4"/>
      <c r="G151" s="1"/>
      <c r="H151" s="1"/>
      <c r="I151" s="70"/>
      <c r="J151" s="3"/>
      <c r="K151" s="73"/>
    </row>
    <row x14ac:dyDescent="0.25" r="152" customHeight="1" ht="18.75">
      <c r="A152" s="3" t="s">
        <v>1051</v>
      </c>
      <c r="B152" s="1"/>
      <c r="C152" s="1"/>
      <c r="D152" s="4"/>
      <c r="E152" s="4"/>
      <c r="F152" s="4"/>
      <c r="G152" s="1"/>
      <c r="H152" s="1"/>
      <c r="I152" s="70"/>
      <c r="J152" s="3"/>
      <c r="K152" s="73"/>
    </row>
    <row x14ac:dyDescent="0.25" r="153" customHeight="1" ht="18.75">
      <c r="A153" s="3" t="s">
        <v>1051</v>
      </c>
      <c r="B153" s="1"/>
      <c r="C153" s="1"/>
      <c r="D153" s="4"/>
      <c r="E153" s="4"/>
      <c r="F153" s="4"/>
      <c r="G153" s="1"/>
      <c r="H153" s="1"/>
      <c r="I153" s="70"/>
      <c r="J153" s="3"/>
      <c r="K153" s="73"/>
    </row>
    <row x14ac:dyDescent="0.25" r="154" customHeight="1" ht="18.75">
      <c r="A154" s="3" t="s">
        <v>1051</v>
      </c>
      <c r="B154" s="1"/>
      <c r="C154" s="1"/>
      <c r="D154" s="4"/>
      <c r="E154" s="4"/>
      <c r="F154" s="4"/>
      <c r="G154" s="1"/>
      <c r="H154" s="1"/>
      <c r="I154" s="70"/>
      <c r="J154" s="3"/>
      <c r="K154" s="73"/>
    </row>
    <row x14ac:dyDescent="0.25" r="155" customHeight="1" ht="18.75">
      <c r="A155" s="3" t="s">
        <v>1051</v>
      </c>
      <c r="B155" s="1"/>
      <c r="C155" s="1"/>
      <c r="D155" s="4"/>
      <c r="E155" s="4"/>
      <c r="F155" s="4"/>
      <c r="G155" s="1"/>
      <c r="H155" s="1"/>
      <c r="I155" s="70"/>
      <c r="J155" s="3"/>
      <c r="K155" s="73"/>
    </row>
    <row x14ac:dyDescent="0.25" r="156" customHeight="1" ht="18.75">
      <c r="A156" s="3" t="s">
        <v>1051</v>
      </c>
      <c r="B156" s="1"/>
      <c r="C156" s="1"/>
      <c r="D156" s="4"/>
      <c r="E156" s="4"/>
      <c r="F156" s="4"/>
      <c r="G156" s="1"/>
      <c r="H156" s="1"/>
      <c r="I156" s="70"/>
      <c r="J156" s="3"/>
      <c r="K156" s="73"/>
    </row>
    <row x14ac:dyDescent="0.25" r="157" customHeight="1" ht="18.75">
      <c r="A157" s="3" t="s">
        <v>1051</v>
      </c>
      <c r="B157" s="1"/>
      <c r="C157" s="1"/>
      <c r="D157" s="4"/>
      <c r="E157" s="4"/>
      <c r="F157" s="4"/>
      <c r="G157" s="1"/>
      <c r="H157" s="1"/>
      <c r="I157" s="70"/>
      <c r="J157" s="3"/>
      <c r="K157" s="73"/>
    </row>
    <row x14ac:dyDescent="0.25" r="158" customHeight="1" ht="18.75">
      <c r="A158" s="3" t="s">
        <v>1051</v>
      </c>
      <c r="B158" s="1"/>
      <c r="C158" s="1"/>
      <c r="D158" s="4"/>
      <c r="E158" s="4"/>
      <c r="F158" s="4"/>
      <c r="G158" s="1"/>
      <c r="H158" s="1"/>
      <c r="I158" s="70"/>
      <c r="J158" s="3"/>
      <c r="K158" s="73"/>
    </row>
    <row x14ac:dyDescent="0.25" r="159" customHeight="1" ht="18.75">
      <c r="A159" s="3" t="s">
        <v>1051</v>
      </c>
      <c r="B159" s="1"/>
      <c r="C159" s="1"/>
      <c r="D159" s="4"/>
      <c r="E159" s="4"/>
      <c r="F159" s="4"/>
      <c r="G159" s="1"/>
      <c r="H159" s="1"/>
      <c r="I159" s="70"/>
      <c r="J159" s="3"/>
      <c r="K159" s="73"/>
    </row>
    <row x14ac:dyDescent="0.25" r="160" customHeight="1" ht="18.75">
      <c r="A160" s="3" t="s">
        <v>1051</v>
      </c>
      <c r="B160" s="1"/>
      <c r="C160" s="1"/>
      <c r="D160" s="4"/>
      <c r="E160" s="4"/>
      <c r="F160" s="4"/>
      <c r="G160" s="1"/>
      <c r="H160" s="1"/>
      <c r="I160" s="70"/>
      <c r="J160" s="3"/>
      <c r="K160" s="73"/>
    </row>
    <row x14ac:dyDescent="0.25" r="161" customHeight="1" ht="18.75">
      <c r="A161" s="3"/>
      <c r="B161" s="1"/>
      <c r="C161" s="1"/>
      <c r="D161" s="4"/>
      <c r="E161" s="4"/>
      <c r="F161" s="4"/>
      <c r="G161" s="1"/>
      <c r="H161" s="1"/>
      <c r="I161" s="70"/>
      <c r="J161" s="3"/>
      <c r="K161" s="73"/>
    </row>
    <row x14ac:dyDescent="0.25" r="162" customHeight="1" ht="18.75">
      <c r="A162" s="3" t="s">
        <v>1051</v>
      </c>
      <c r="B162" s="1"/>
      <c r="C162" s="1"/>
      <c r="D162" s="4"/>
      <c r="E162" s="4"/>
      <c r="F162" s="4"/>
      <c r="G162" s="1"/>
      <c r="H162" s="1"/>
      <c r="I162" s="70"/>
      <c r="J162" s="3"/>
      <c r="K162" s="73"/>
    </row>
    <row x14ac:dyDescent="0.25" r="163" customHeight="1" ht="18.75">
      <c r="A163" s="3" t="s">
        <v>1051</v>
      </c>
      <c r="B163" s="1"/>
      <c r="C163" s="1"/>
      <c r="D163" s="4"/>
      <c r="E163" s="4"/>
      <c r="F163" s="4"/>
      <c r="G163" s="1"/>
      <c r="H163" s="1"/>
      <c r="I163" s="70"/>
      <c r="J163" s="3"/>
      <c r="K163" s="73"/>
    </row>
    <row x14ac:dyDescent="0.25" r="164" customHeight="1" ht="18.75">
      <c r="A164" s="3" t="s">
        <v>1051</v>
      </c>
      <c r="B164" s="1"/>
      <c r="C164" s="1"/>
      <c r="D164" s="4"/>
      <c r="E164" s="4"/>
      <c r="F164" s="4"/>
      <c r="G164" s="1"/>
      <c r="H164" s="1"/>
      <c r="I164" s="70"/>
      <c r="J164" s="3"/>
      <c r="K164" s="73"/>
    </row>
    <row x14ac:dyDescent="0.25" r="165" customHeight="1" ht="18.75">
      <c r="A165" s="3"/>
      <c r="B165" s="1"/>
      <c r="C165" s="1"/>
      <c r="D165" s="4"/>
      <c r="E165" s="4"/>
      <c r="F165" s="4"/>
      <c r="G165" s="1"/>
      <c r="H165" s="1"/>
      <c r="I165" s="70"/>
      <c r="J165" s="3"/>
      <c r="K165" s="73"/>
    </row>
    <row x14ac:dyDescent="0.25" r="166" customHeight="1" ht="18.75">
      <c r="A166" s="3" t="s">
        <v>1051</v>
      </c>
      <c r="B166" s="1"/>
      <c r="C166" s="1"/>
      <c r="D166" s="4"/>
      <c r="E166" s="4"/>
      <c r="F166" s="4"/>
      <c r="G166" s="1"/>
      <c r="H166" s="1"/>
      <c r="I166" s="70"/>
      <c r="J166" s="3"/>
      <c r="K166" s="73"/>
    </row>
    <row x14ac:dyDescent="0.25" r="167" customHeight="1" ht="18.75">
      <c r="A167" s="3" t="s">
        <v>1051</v>
      </c>
      <c r="B167" s="1"/>
      <c r="C167" s="1"/>
      <c r="D167" s="4"/>
      <c r="E167" s="4"/>
      <c r="F167" s="4"/>
      <c r="G167" s="1"/>
      <c r="H167" s="1"/>
      <c r="I167" s="70"/>
      <c r="J167" s="3"/>
      <c r="K167" s="73"/>
    </row>
    <row x14ac:dyDescent="0.25" r="168" customHeight="1" ht="18.75">
      <c r="A168" s="3" t="s">
        <v>1051</v>
      </c>
      <c r="B168" s="1"/>
      <c r="C168" s="1"/>
      <c r="D168" s="4"/>
      <c r="E168" s="4"/>
      <c r="F168" s="4"/>
      <c r="G168" s="1"/>
      <c r="H168" s="1"/>
      <c r="I168" s="70"/>
      <c r="J168" s="3"/>
      <c r="K168" s="73"/>
    </row>
    <row x14ac:dyDescent="0.25" r="169" customHeight="1" ht="18.75">
      <c r="A169" s="3" t="s">
        <v>1051</v>
      </c>
      <c r="B169" s="1"/>
      <c r="C169" s="1"/>
      <c r="D169" s="4"/>
      <c r="E169" s="4"/>
      <c r="F169" s="4"/>
      <c r="G169" s="1"/>
      <c r="H169" s="1"/>
      <c r="I169" s="70"/>
      <c r="J169" s="3"/>
      <c r="K169" s="73"/>
    </row>
    <row x14ac:dyDescent="0.25" r="170" customHeight="1" ht="18.75">
      <c r="A170" s="3" t="s">
        <v>1051</v>
      </c>
      <c r="B170" s="1"/>
      <c r="C170" s="1"/>
      <c r="D170" s="4"/>
      <c r="E170" s="4"/>
      <c r="F170" s="4"/>
      <c r="G170" s="1"/>
      <c r="H170" s="1"/>
      <c r="I170" s="70"/>
      <c r="J170" s="3"/>
      <c r="K170" s="73"/>
    </row>
    <row x14ac:dyDescent="0.25" r="171" customHeight="1" ht="18.75">
      <c r="A171" s="3"/>
      <c r="B171" s="1"/>
      <c r="C171" s="1"/>
      <c r="D171" s="4"/>
      <c r="E171" s="4"/>
      <c r="F171" s="4"/>
      <c r="G171" s="1"/>
      <c r="H171" s="1"/>
      <c r="I171" s="70"/>
      <c r="J171" s="3"/>
      <c r="K171" s="73"/>
    </row>
    <row x14ac:dyDescent="0.25" r="172" customHeight="1" ht="18.75">
      <c r="A172" s="3" t="s">
        <v>1051</v>
      </c>
      <c r="B172" s="1"/>
      <c r="C172" s="1"/>
      <c r="D172" s="4"/>
      <c r="E172" s="4"/>
      <c r="F172" s="4"/>
      <c r="G172" s="1"/>
      <c r="H172" s="1"/>
      <c r="I172" s="70"/>
      <c r="J172" s="3"/>
      <c r="K172" s="73"/>
    </row>
    <row x14ac:dyDescent="0.25" r="173" customHeight="1" ht="18.75">
      <c r="A173" s="3" t="s">
        <v>1051</v>
      </c>
      <c r="B173" s="1"/>
      <c r="C173" s="1"/>
      <c r="D173" s="4"/>
      <c r="E173" s="4"/>
      <c r="F173" s="4"/>
      <c r="G173" s="1"/>
      <c r="H173" s="1"/>
      <c r="I173" s="70"/>
      <c r="J173" s="3"/>
      <c r="K173" s="73"/>
    </row>
    <row x14ac:dyDescent="0.25" r="174" customHeight="1" ht="18.75">
      <c r="A174" s="3" t="s">
        <v>1051</v>
      </c>
      <c r="B174" s="1"/>
      <c r="C174" s="1"/>
      <c r="D174" s="4"/>
      <c r="E174" s="4"/>
      <c r="F174" s="4"/>
      <c r="G174" s="1"/>
      <c r="H174" s="1"/>
      <c r="I174" s="70"/>
      <c r="J174" s="3"/>
      <c r="K174" s="73"/>
    </row>
    <row x14ac:dyDescent="0.25" r="175" customHeight="1" ht="18.75">
      <c r="A175" s="3" t="s">
        <v>1051</v>
      </c>
      <c r="B175" s="1"/>
      <c r="C175" s="1"/>
      <c r="D175" s="4"/>
      <c r="E175" s="4"/>
      <c r="F175" s="4"/>
      <c r="G175" s="1"/>
      <c r="H175" s="1"/>
      <c r="I175" s="70"/>
      <c r="J175" s="3"/>
      <c r="K175" s="73"/>
    </row>
    <row x14ac:dyDescent="0.25" r="176" customHeight="1" ht="18.75">
      <c r="A176" s="3" t="s">
        <v>1051</v>
      </c>
      <c r="B176" s="1"/>
      <c r="C176" s="1"/>
      <c r="D176" s="4"/>
      <c r="E176" s="4"/>
      <c r="F176" s="4"/>
      <c r="G176" s="1"/>
      <c r="H176" s="1"/>
      <c r="I176" s="70"/>
      <c r="J176" s="3"/>
      <c r="K176" s="73"/>
    </row>
    <row x14ac:dyDescent="0.25" r="177" customHeight="1" ht="18.75">
      <c r="A177" s="3" t="s">
        <v>1051</v>
      </c>
      <c r="B177" s="1"/>
      <c r="C177" s="1"/>
      <c r="D177" s="4"/>
      <c r="E177" s="4"/>
      <c r="F177" s="4"/>
      <c r="G177" s="1"/>
      <c r="H177" s="1"/>
      <c r="I177" s="70"/>
      <c r="J177" s="3"/>
      <c r="K177" s="73"/>
    </row>
    <row x14ac:dyDescent="0.25" r="178" customHeight="1" ht="18.75">
      <c r="A178" s="3" t="s">
        <v>1051</v>
      </c>
      <c r="B178" s="1"/>
      <c r="C178" s="1"/>
      <c r="D178" s="4"/>
      <c r="E178" s="4"/>
      <c r="F178" s="4"/>
      <c r="G178" s="1"/>
      <c r="H178" s="1"/>
      <c r="I178" s="70"/>
      <c r="J178" s="3"/>
      <c r="K178" s="73"/>
    </row>
    <row x14ac:dyDescent="0.25" r="179" customHeight="1" ht="18.75">
      <c r="A179" s="3" t="s">
        <v>1051</v>
      </c>
      <c r="B179" s="1"/>
      <c r="C179" s="1"/>
      <c r="D179" s="4"/>
      <c r="E179" s="4"/>
      <c r="F179" s="4"/>
      <c r="G179" s="1"/>
      <c r="H179" s="1"/>
      <c r="I179" s="70"/>
      <c r="J179" s="3"/>
      <c r="K179" s="73"/>
    </row>
    <row x14ac:dyDescent="0.25" r="180" customHeight="1" ht="18.75">
      <c r="A180" s="3" t="s">
        <v>1051</v>
      </c>
      <c r="B180" s="1"/>
      <c r="C180" s="1"/>
      <c r="D180" s="4"/>
      <c r="E180" s="4"/>
      <c r="F180" s="4"/>
      <c r="G180" s="1"/>
      <c r="H180" s="1"/>
      <c r="I180" s="70"/>
      <c r="J180" s="3"/>
      <c r="K180" s="73"/>
    </row>
    <row x14ac:dyDescent="0.25" r="181" customHeight="1" ht="18.75">
      <c r="A181" s="3" t="s">
        <v>1051</v>
      </c>
      <c r="B181" s="1"/>
      <c r="C181" s="1"/>
      <c r="D181" s="4"/>
      <c r="E181" s="4"/>
      <c r="F181" s="4"/>
      <c r="G181" s="1"/>
      <c r="H181" s="1"/>
      <c r="I181" s="70"/>
      <c r="J181" s="3"/>
      <c r="K181" s="73"/>
    </row>
    <row x14ac:dyDescent="0.25" r="182" customHeight="1" ht="18.75">
      <c r="A182" s="3" t="s">
        <v>1051</v>
      </c>
      <c r="B182" s="1"/>
      <c r="C182" s="1"/>
      <c r="D182" s="4"/>
      <c r="E182" s="4"/>
      <c r="F182" s="4"/>
      <c r="G182" s="1"/>
      <c r="H182" s="1"/>
      <c r="I182" s="70"/>
      <c r="J182" s="3"/>
      <c r="K182" s="73"/>
    </row>
    <row x14ac:dyDescent="0.25" r="183" customHeight="1" ht="18.75">
      <c r="A183" s="3" t="s">
        <v>1051</v>
      </c>
      <c r="B183" s="1"/>
      <c r="C183" s="1"/>
      <c r="D183" s="4"/>
      <c r="E183" s="4"/>
      <c r="F183" s="4"/>
      <c r="G183" s="1"/>
      <c r="H183" s="1"/>
      <c r="I183" s="70"/>
      <c r="J183" s="3"/>
      <c r="K183" s="73"/>
    </row>
    <row x14ac:dyDescent="0.25" r="184" customHeight="1" ht="18.75">
      <c r="A184" s="3" t="s">
        <v>1051</v>
      </c>
      <c r="B184" s="1"/>
      <c r="C184" s="1"/>
      <c r="D184" s="4"/>
      <c r="E184" s="4"/>
      <c r="F184" s="4"/>
      <c r="G184" s="1"/>
      <c r="H184" s="1"/>
      <c r="I184" s="70"/>
      <c r="J184" s="3"/>
      <c r="K184" s="73"/>
    </row>
    <row x14ac:dyDescent="0.25" r="185" customHeight="1" ht="18.75">
      <c r="A185" s="3" t="s">
        <v>1051</v>
      </c>
      <c r="B185" s="1"/>
      <c r="C185" s="1"/>
      <c r="D185" s="4"/>
      <c r="E185" s="4"/>
      <c r="F185" s="4"/>
      <c r="G185" s="1"/>
      <c r="H185" s="1"/>
      <c r="I185" s="70"/>
      <c r="J185" s="3"/>
      <c r="K185" s="73"/>
    </row>
    <row x14ac:dyDescent="0.25" r="186" customHeight="1" ht="18.75">
      <c r="A186" s="3" t="s">
        <v>1051</v>
      </c>
      <c r="B186" s="1"/>
      <c r="C186" s="1"/>
      <c r="D186" s="4"/>
      <c r="E186" s="4"/>
      <c r="F186" s="4"/>
      <c r="G186" s="1"/>
      <c r="H186" s="1"/>
      <c r="I186" s="70"/>
      <c r="J186" s="3"/>
      <c r="K186" s="73"/>
    </row>
    <row x14ac:dyDescent="0.25" r="187" customHeight="1" ht="18.75">
      <c r="A187" s="3" t="s">
        <v>1051</v>
      </c>
      <c r="B187" s="1"/>
      <c r="C187" s="1"/>
      <c r="D187" s="4"/>
      <c r="E187" s="4"/>
      <c r="F187" s="4"/>
      <c r="G187" s="1"/>
      <c r="H187" s="1"/>
      <c r="I187" s="70"/>
      <c r="J187" s="3"/>
      <c r="K187" s="73"/>
    </row>
    <row x14ac:dyDescent="0.25" r="188" customHeight="1" ht="18.75">
      <c r="A188" s="3" t="s">
        <v>1051</v>
      </c>
      <c r="B188" s="1"/>
      <c r="C188" s="1"/>
      <c r="D188" s="4"/>
      <c r="E188" s="4"/>
      <c r="F188" s="4"/>
      <c r="G188" s="1"/>
      <c r="H188" s="1"/>
      <c r="I188" s="70"/>
      <c r="J188" s="3"/>
      <c r="K188" s="73"/>
    </row>
    <row x14ac:dyDescent="0.25" r="189" customHeight="1" ht="18.75">
      <c r="A189" s="3" t="s">
        <v>1051</v>
      </c>
      <c r="B189" s="1"/>
      <c r="C189" s="1"/>
      <c r="D189" s="4"/>
      <c r="E189" s="4"/>
      <c r="F189" s="4"/>
      <c r="G189" s="1"/>
      <c r="H189" s="1"/>
      <c r="I189" s="70"/>
      <c r="J189" s="3"/>
      <c r="K189" s="73"/>
    </row>
    <row x14ac:dyDescent="0.25" r="190" customHeight="1" ht="18.75">
      <c r="A190" s="3" t="s">
        <v>1051</v>
      </c>
      <c r="B190" s="1"/>
      <c r="C190" s="1"/>
      <c r="D190" s="4"/>
      <c r="E190" s="4"/>
      <c r="F190" s="4"/>
      <c r="G190" s="1"/>
      <c r="H190" s="1"/>
      <c r="I190" s="70"/>
      <c r="J190" s="3"/>
      <c r="K190" s="73"/>
    </row>
    <row x14ac:dyDescent="0.25" r="191" customHeight="1" ht="18.75">
      <c r="A191" s="3" t="s">
        <v>1051</v>
      </c>
      <c r="B191" s="1"/>
      <c r="C191" s="1"/>
      <c r="D191" s="4"/>
      <c r="E191" s="4"/>
      <c r="F191" s="4"/>
      <c r="G191" s="1"/>
      <c r="H191" s="1"/>
      <c r="I191" s="70"/>
      <c r="J191" s="3"/>
      <c r="K191" s="73"/>
    </row>
    <row x14ac:dyDescent="0.25" r="192" customHeight="1" ht="18.75">
      <c r="A192" s="3" t="s">
        <v>1051</v>
      </c>
      <c r="B192" s="1"/>
      <c r="C192" s="1"/>
      <c r="D192" s="4"/>
      <c r="E192" s="4"/>
      <c r="F192" s="4"/>
      <c r="G192" s="1"/>
      <c r="H192" s="1"/>
      <c r="I192" s="70"/>
      <c r="J192" s="3"/>
      <c r="K192" s="73"/>
    </row>
    <row x14ac:dyDescent="0.25" r="193" customHeight="1" ht="18.75">
      <c r="A193" s="3" t="s">
        <v>1051</v>
      </c>
      <c r="B193" s="1"/>
      <c r="C193" s="1"/>
      <c r="D193" s="4"/>
      <c r="E193" s="4"/>
      <c r="F193" s="4"/>
      <c r="G193" s="1"/>
      <c r="H193" s="1"/>
      <c r="I193" s="70"/>
      <c r="J193" s="3"/>
      <c r="K193" s="73"/>
    </row>
    <row x14ac:dyDescent="0.25" r="194" customHeight="1" ht="18.75">
      <c r="A194" s="3" t="s">
        <v>1051</v>
      </c>
      <c r="B194" s="1"/>
      <c r="C194" s="1"/>
      <c r="D194" s="4"/>
      <c r="E194" s="4"/>
      <c r="F194" s="4"/>
      <c r="G194" s="1"/>
      <c r="H194" s="1"/>
      <c r="I194" s="70"/>
      <c r="J194" s="3"/>
      <c r="K194" s="73"/>
    </row>
    <row x14ac:dyDescent="0.25" r="195" customHeight="1" ht="18.75">
      <c r="A195" s="3" t="s">
        <v>1051</v>
      </c>
      <c r="B195" s="1"/>
      <c r="C195" s="1"/>
      <c r="D195" s="4"/>
      <c r="E195" s="4"/>
      <c r="F195" s="4"/>
      <c r="G195" s="1"/>
      <c r="H195" s="1"/>
      <c r="I195" s="70"/>
      <c r="J195" s="3"/>
      <c r="K195" s="73"/>
    </row>
    <row x14ac:dyDescent="0.25" r="196" customHeight="1" ht="18.75">
      <c r="A196" s="3" t="s">
        <v>1051</v>
      </c>
      <c r="B196" s="1"/>
      <c r="C196" s="1"/>
      <c r="D196" s="4"/>
      <c r="E196" s="4"/>
      <c r="F196" s="4"/>
      <c r="G196" s="1"/>
      <c r="H196" s="1"/>
      <c r="I196" s="70"/>
      <c r="J196" s="3"/>
      <c r="K196" s="73"/>
    </row>
    <row x14ac:dyDescent="0.25" r="197" customHeight="1" ht="18.75">
      <c r="A197" s="3" t="s">
        <v>1051</v>
      </c>
      <c r="B197" s="1"/>
      <c r="C197" s="1"/>
      <c r="D197" s="4"/>
      <c r="E197" s="4"/>
      <c r="F197" s="4"/>
      <c r="G197" s="1"/>
      <c r="H197" s="1"/>
      <c r="I197" s="70"/>
      <c r="J197" s="3"/>
      <c r="K197" s="73"/>
    </row>
    <row x14ac:dyDescent="0.25" r="198" customHeight="1" ht="18.75">
      <c r="A198" s="3" t="s">
        <v>1051</v>
      </c>
      <c r="B198" s="1"/>
      <c r="C198" s="1"/>
      <c r="D198" s="4"/>
      <c r="E198" s="4"/>
      <c r="F198" s="4"/>
      <c r="G198" s="1"/>
      <c r="H198" s="1"/>
      <c r="I198" s="70"/>
      <c r="J198" s="3"/>
      <c r="K198" s="73"/>
    </row>
    <row x14ac:dyDescent="0.25" r="199" customHeight="1" ht="18.75">
      <c r="A199" s="3" t="s">
        <v>1051</v>
      </c>
      <c r="B199" s="1"/>
      <c r="C199" s="1"/>
      <c r="D199" s="4"/>
      <c r="E199" s="4"/>
      <c r="F199" s="4"/>
      <c r="G199" s="1"/>
      <c r="H199" s="1"/>
      <c r="I199" s="70"/>
      <c r="J199" s="3"/>
      <c r="K199" s="73"/>
    </row>
    <row x14ac:dyDescent="0.25" r="200" customHeight="1" ht="18.75">
      <c r="A200" s="3" t="s">
        <v>1051</v>
      </c>
      <c r="B200" s="1"/>
      <c r="C200" s="1"/>
      <c r="D200" s="4"/>
      <c r="E200" s="4"/>
      <c r="F200" s="4"/>
      <c r="G200" s="1"/>
      <c r="H200" s="1"/>
      <c r="I200" s="70"/>
      <c r="J200" s="3"/>
      <c r="K200" s="73"/>
    </row>
    <row x14ac:dyDescent="0.25" r="201" customHeight="1" ht="18.75">
      <c r="A201" s="3" t="s">
        <v>1051</v>
      </c>
      <c r="B201" s="1"/>
      <c r="C201" s="1"/>
      <c r="D201" s="4"/>
      <c r="E201" s="4"/>
      <c r="F201" s="4"/>
      <c r="G201" s="1"/>
      <c r="H201" s="1"/>
      <c r="I201" s="70"/>
      <c r="J201" s="3"/>
      <c r="K201" s="73"/>
    </row>
    <row x14ac:dyDescent="0.25" r="202" customHeight="1" ht="18.75">
      <c r="A202" s="3" t="s">
        <v>1051</v>
      </c>
      <c r="B202" s="1"/>
      <c r="C202" s="1"/>
      <c r="D202" s="4"/>
      <c r="E202" s="4"/>
      <c r="F202" s="4"/>
      <c r="G202" s="1"/>
      <c r="H202" s="1"/>
      <c r="I202" s="70"/>
      <c r="J202" s="3"/>
      <c r="K202" s="73"/>
    </row>
    <row x14ac:dyDescent="0.25" r="203" customHeight="1" ht="18.75">
      <c r="A203" s="3" t="s">
        <v>1051</v>
      </c>
      <c r="B203" s="1"/>
      <c r="C203" s="1"/>
      <c r="D203" s="4"/>
      <c r="E203" s="4"/>
      <c r="F203" s="4"/>
      <c r="G203" s="1"/>
      <c r="H203" s="1"/>
      <c r="I203" s="70"/>
      <c r="J203" s="3"/>
      <c r="K203" s="73"/>
    </row>
    <row x14ac:dyDescent="0.25" r="204" customHeight="1" ht="18.75">
      <c r="A204" s="3" t="s">
        <v>1051</v>
      </c>
      <c r="B204" s="1"/>
      <c r="C204" s="1"/>
      <c r="D204" s="4"/>
      <c r="E204" s="4"/>
      <c r="F204" s="4"/>
      <c r="G204" s="1"/>
      <c r="H204" s="1"/>
      <c r="I204" s="70"/>
      <c r="J204" s="3"/>
      <c r="K204" s="73"/>
    </row>
    <row x14ac:dyDescent="0.25" r="205" customHeight="1" ht="18.75">
      <c r="A205" s="3" t="s">
        <v>1051</v>
      </c>
      <c r="B205" s="1"/>
      <c r="C205" s="1"/>
      <c r="D205" s="4"/>
      <c r="E205" s="4"/>
      <c r="F205" s="4"/>
      <c r="G205" s="1"/>
      <c r="H205" s="1"/>
      <c r="I205" s="70"/>
      <c r="J205" s="3"/>
      <c r="K205" s="73"/>
    </row>
    <row x14ac:dyDescent="0.25" r="206" customHeight="1" ht="18.75">
      <c r="A206" s="3" t="s">
        <v>1051</v>
      </c>
      <c r="B206" s="1"/>
      <c r="C206" s="1"/>
      <c r="D206" s="4"/>
      <c r="E206" s="4"/>
      <c r="F206" s="4"/>
      <c r="G206" s="1"/>
      <c r="H206" s="1"/>
      <c r="I206" s="70"/>
      <c r="J206" s="3"/>
      <c r="K206" s="73"/>
    </row>
    <row x14ac:dyDescent="0.25" r="207" customHeight="1" ht="18.75">
      <c r="A207" s="3" t="s">
        <v>1051</v>
      </c>
      <c r="B207" s="1"/>
      <c r="C207" s="1"/>
      <c r="D207" s="4"/>
      <c r="E207" s="4"/>
      <c r="F207" s="4"/>
      <c r="G207" s="1"/>
      <c r="H207" s="1"/>
      <c r="I207" s="70"/>
      <c r="J207" s="3"/>
      <c r="K207" s="73"/>
    </row>
    <row x14ac:dyDescent="0.25" r="208" customHeight="1" ht="18.75">
      <c r="A208" s="3" t="s">
        <v>1051</v>
      </c>
      <c r="B208" s="1"/>
      <c r="C208" s="1"/>
      <c r="D208" s="4"/>
      <c r="E208" s="4"/>
      <c r="F208" s="4"/>
      <c r="G208" s="1"/>
      <c r="H208" s="1"/>
      <c r="I208" s="70"/>
      <c r="J208" s="3"/>
      <c r="K208" s="73"/>
    </row>
    <row x14ac:dyDescent="0.25" r="209" customHeight="1" ht="18.75">
      <c r="A209" s="3" t="s">
        <v>1051</v>
      </c>
      <c r="B209" s="1"/>
      <c r="C209" s="1"/>
      <c r="D209" s="4"/>
      <c r="E209" s="4"/>
      <c r="F209" s="4"/>
      <c r="G209" s="1"/>
      <c r="H209" s="1"/>
      <c r="I209" s="70"/>
      <c r="J209" s="3"/>
      <c r="K209" s="73"/>
    </row>
    <row x14ac:dyDescent="0.25" r="210" customHeight="1" ht="18.75">
      <c r="A210" s="3" t="s">
        <v>1051</v>
      </c>
      <c r="B210" s="1"/>
      <c r="C210" s="1"/>
      <c r="D210" s="4"/>
      <c r="E210" s="4"/>
      <c r="F210" s="4"/>
      <c r="G210" s="1"/>
      <c r="H210" s="1"/>
      <c r="I210" s="70"/>
      <c r="J210" s="3"/>
      <c r="K210" s="73"/>
    </row>
    <row x14ac:dyDescent="0.25" r="211" customHeight="1" ht="18.75">
      <c r="A211" s="3" t="s">
        <v>1051</v>
      </c>
      <c r="B211" s="1"/>
      <c r="C211" s="1"/>
      <c r="D211" s="4"/>
      <c r="E211" s="4"/>
      <c r="F211" s="4"/>
      <c r="G211" s="1"/>
      <c r="H211" s="1"/>
      <c r="I211" s="70"/>
      <c r="J211" s="3"/>
      <c r="K211" s="73"/>
    </row>
    <row x14ac:dyDescent="0.25" r="212" customHeight="1" ht="18.75">
      <c r="A212" s="3" t="s">
        <v>1051</v>
      </c>
      <c r="B212" s="1"/>
      <c r="C212" s="1"/>
      <c r="D212" s="4"/>
      <c r="E212" s="4"/>
      <c r="F212" s="4"/>
      <c r="G212" s="1"/>
      <c r="H212" s="1"/>
      <c r="I212" s="70"/>
      <c r="J212" s="3"/>
      <c r="K212" s="73"/>
    </row>
    <row x14ac:dyDescent="0.25" r="213" customHeight="1" ht="18.75">
      <c r="A213" s="3" t="s">
        <v>1051</v>
      </c>
      <c r="B213" s="1"/>
      <c r="C213" s="1"/>
      <c r="D213" s="4"/>
      <c r="E213" s="4"/>
      <c r="F213" s="4"/>
      <c r="G213" s="1"/>
      <c r="H213" s="1"/>
      <c r="I213" s="70"/>
      <c r="J213" s="3"/>
      <c r="K213" s="73"/>
    </row>
    <row x14ac:dyDescent="0.25" r="214" customHeight="1" ht="18.75">
      <c r="A214" s="3" t="s">
        <v>1051</v>
      </c>
      <c r="B214" s="1"/>
      <c r="C214" s="1"/>
      <c r="D214" s="4"/>
      <c r="E214" s="4"/>
      <c r="F214" s="4"/>
      <c r="G214" s="1"/>
      <c r="H214" s="1"/>
      <c r="I214" s="70"/>
      <c r="J214" s="3"/>
      <c r="K214" s="73"/>
    </row>
    <row x14ac:dyDescent="0.25" r="215" customHeight="1" ht="18.75">
      <c r="A215" s="3" t="s">
        <v>1051</v>
      </c>
      <c r="B215" s="1"/>
      <c r="C215" s="1"/>
      <c r="D215" s="4"/>
      <c r="E215" s="4"/>
      <c r="F215" s="4"/>
      <c r="G215" s="1"/>
      <c r="H215" s="1"/>
      <c r="I215" s="70"/>
      <c r="J215" s="3"/>
      <c r="K215" s="73"/>
    </row>
    <row x14ac:dyDescent="0.25" r="216" customHeight="1" ht="18.75">
      <c r="A216" s="3" t="s">
        <v>1051</v>
      </c>
      <c r="B216" s="1"/>
      <c r="C216" s="1"/>
      <c r="D216" s="4"/>
      <c r="E216" s="4"/>
      <c r="F216" s="4"/>
      <c r="G216" s="1"/>
      <c r="H216" s="1"/>
      <c r="I216" s="70"/>
      <c r="J216" s="3"/>
      <c r="K216" s="73"/>
    </row>
    <row x14ac:dyDescent="0.25" r="217" customHeight="1" ht="18.75">
      <c r="A217" s="3" t="s">
        <v>1051</v>
      </c>
      <c r="B217" s="1"/>
      <c r="C217" s="1"/>
      <c r="D217" s="4"/>
      <c r="E217" s="4"/>
      <c r="F217" s="4"/>
      <c r="G217" s="1"/>
      <c r="H217" s="1"/>
      <c r="I217" s="70"/>
      <c r="J217" s="3"/>
      <c r="K217" s="73"/>
    </row>
    <row x14ac:dyDescent="0.25" r="218" customHeight="1" ht="18.75">
      <c r="A218" s="3" t="s">
        <v>1051</v>
      </c>
      <c r="B218" s="1"/>
      <c r="C218" s="1"/>
      <c r="D218" s="4"/>
      <c r="E218" s="4"/>
      <c r="F218" s="4"/>
      <c r="G218" s="1"/>
      <c r="H218" s="1"/>
      <c r="I218" s="70"/>
      <c r="J218" s="3"/>
      <c r="K218" s="73"/>
    </row>
    <row x14ac:dyDescent="0.25" r="219" customHeight="1" ht="18.75">
      <c r="A219" s="3" t="s">
        <v>1051</v>
      </c>
      <c r="B219" s="1"/>
      <c r="C219" s="1"/>
      <c r="D219" s="4"/>
      <c r="E219" s="4"/>
      <c r="F219" s="4"/>
      <c r="G219" s="1"/>
      <c r="H219" s="1"/>
      <c r="I219" s="70"/>
      <c r="J219" s="3"/>
      <c r="K219" s="73"/>
    </row>
    <row x14ac:dyDescent="0.25" r="220" customHeight="1" ht="18.75">
      <c r="A220" s="3" t="s">
        <v>1051</v>
      </c>
      <c r="B220" s="1"/>
      <c r="C220" s="1"/>
      <c r="D220" s="4"/>
      <c r="E220" s="4"/>
      <c r="F220" s="4"/>
      <c r="G220" s="1"/>
      <c r="H220" s="1"/>
      <c r="I220" s="70"/>
      <c r="J220" s="3"/>
      <c r="K220" s="73"/>
    </row>
    <row x14ac:dyDescent="0.25" r="221" customHeight="1" ht="18.75">
      <c r="A221" s="3" t="s">
        <v>1051</v>
      </c>
      <c r="B221" s="1"/>
      <c r="C221" s="1"/>
      <c r="D221" s="4"/>
      <c r="E221" s="4"/>
      <c r="F221" s="4"/>
      <c r="G221" s="1"/>
      <c r="H221" s="1"/>
      <c r="I221" s="70"/>
      <c r="J221" s="3"/>
      <c r="K221" s="73"/>
    </row>
    <row x14ac:dyDescent="0.25" r="222" customHeight="1" ht="18.75">
      <c r="A222" s="3" t="s">
        <v>1051</v>
      </c>
      <c r="B222" s="1"/>
      <c r="C222" s="1"/>
      <c r="D222" s="4"/>
      <c r="E222" s="4"/>
      <c r="F222" s="4"/>
      <c r="G222" s="1"/>
      <c r="H222" s="1"/>
      <c r="I222" s="70"/>
      <c r="J222" s="3"/>
      <c r="K222" s="73"/>
    </row>
    <row x14ac:dyDescent="0.25" r="223" customHeight="1" ht="18.75">
      <c r="A223" s="3" t="s">
        <v>1051</v>
      </c>
      <c r="B223" s="1"/>
      <c r="C223" s="1"/>
      <c r="D223" s="4"/>
      <c r="E223" s="4"/>
      <c r="F223" s="4"/>
      <c r="G223" s="1"/>
      <c r="H223" s="1"/>
      <c r="I223" s="70"/>
      <c r="J223" s="3"/>
      <c r="K223" s="73"/>
    </row>
    <row x14ac:dyDescent="0.25" r="224" customHeight="1" ht="18.75">
      <c r="A224" s="3"/>
      <c r="B224" s="1"/>
      <c r="C224" s="1"/>
      <c r="D224" s="4"/>
      <c r="E224" s="4"/>
      <c r="F224" s="4"/>
      <c r="G224" s="1"/>
      <c r="H224" s="1"/>
      <c r="I224" s="70"/>
      <c r="J224" s="3"/>
      <c r="K224" s="73"/>
    </row>
    <row x14ac:dyDescent="0.25" r="225" customHeight="1" ht="18.75">
      <c r="A225" s="3" t="s">
        <v>1051</v>
      </c>
      <c r="B225" s="1"/>
      <c r="C225" s="1"/>
      <c r="D225" s="4"/>
      <c r="E225" s="4"/>
      <c r="F225" s="4"/>
      <c r="G225" s="1"/>
      <c r="H225" s="1"/>
      <c r="I225" s="70"/>
      <c r="J225" s="3"/>
      <c r="K225" s="73"/>
    </row>
    <row x14ac:dyDescent="0.25" r="226" customHeight="1" ht="18.75">
      <c r="A226" s="3" t="s">
        <v>1051</v>
      </c>
      <c r="B226" s="1"/>
      <c r="C226" s="1"/>
      <c r="D226" s="4"/>
      <c r="E226" s="4"/>
      <c r="F226" s="4"/>
      <c r="G226" s="1"/>
      <c r="H226" s="1"/>
      <c r="I226" s="70"/>
      <c r="J226" s="3"/>
      <c r="K226" s="73"/>
    </row>
    <row x14ac:dyDescent="0.25" r="227" customHeight="1" ht="18.75">
      <c r="A227" s="3" t="s">
        <v>1051</v>
      </c>
      <c r="B227" s="1"/>
      <c r="C227" s="1"/>
      <c r="D227" s="4"/>
      <c r="E227" s="4"/>
      <c r="F227" s="4"/>
      <c r="G227" s="1"/>
      <c r="H227" s="1"/>
      <c r="I227" s="70"/>
      <c r="J227" s="3"/>
      <c r="K227" s="73"/>
    </row>
    <row x14ac:dyDescent="0.25" r="228" customHeight="1" ht="18.75">
      <c r="A228" s="3" t="s">
        <v>1051</v>
      </c>
      <c r="B228" s="1"/>
      <c r="C228" s="1"/>
      <c r="D228" s="4"/>
      <c r="E228" s="4"/>
      <c r="F228" s="4"/>
      <c r="G228" s="1"/>
      <c r="H228" s="1"/>
      <c r="I228" s="70"/>
      <c r="J228" s="3"/>
      <c r="K228" s="73"/>
    </row>
    <row x14ac:dyDescent="0.25" r="229" customHeight="1" ht="18.75">
      <c r="A229" s="3" t="s">
        <v>1051</v>
      </c>
      <c r="B229" s="1"/>
      <c r="C229" s="1"/>
      <c r="D229" s="4"/>
      <c r="E229" s="4"/>
      <c r="F229" s="4"/>
      <c r="G229" s="1"/>
      <c r="H229" s="1"/>
      <c r="I229" s="70"/>
      <c r="J229" s="3"/>
      <c r="K229" s="73"/>
    </row>
    <row x14ac:dyDescent="0.25" r="230" customHeight="1" ht="18.75">
      <c r="A230" s="3" t="s">
        <v>1051</v>
      </c>
      <c r="B230" s="1"/>
      <c r="C230" s="1"/>
      <c r="D230" s="4"/>
      <c r="E230" s="4"/>
      <c r="F230" s="4"/>
      <c r="G230" s="1"/>
      <c r="H230" s="1"/>
      <c r="I230" s="70"/>
      <c r="J230" s="3"/>
      <c r="K230" s="73"/>
    </row>
    <row x14ac:dyDescent="0.25" r="231" customHeight="1" ht="18.75">
      <c r="A231" s="3" t="s">
        <v>1051</v>
      </c>
      <c r="B231" s="1"/>
      <c r="C231" s="1"/>
      <c r="D231" s="4"/>
      <c r="E231" s="4"/>
      <c r="F231" s="4"/>
      <c r="G231" s="1"/>
      <c r="H231" s="1"/>
      <c r="I231" s="70"/>
      <c r="J231" s="3"/>
      <c r="K231" s="73"/>
    </row>
    <row x14ac:dyDescent="0.25" r="232" customHeight="1" ht="18.75">
      <c r="A232" s="3" t="s">
        <v>1051</v>
      </c>
      <c r="B232" s="1"/>
      <c r="C232" s="1"/>
      <c r="D232" s="4"/>
      <c r="E232" s="4"/>
      <c r="F232" s="4"/>
      <c r="G232" s="1"/>
      <c r="H232" s="1"/>
      <c r="I232" s="70"/>
      <c r="J232" s="3"/>
      <c r="K232" s="73"/>
    </row>
    <row x14ac:dyDescent="0.25" r="233" customHeight="1" ht="18.75">
      <c r="A233" s="3" t="s">
        <v>1051</v>
      </c>
      <c r="B233" s="1"/>
      <c r="C233" s="1"/>
      <c r="D233" s="4"/>
      <c r="E233" s="4"/>
      <c r="F233" s="4"/>
      <c r="G233" s="1"/>
      <c r="H233" s="1"/>
      <c r="I233" s="70"/>
      <c r="J233" s="3"/>
      <c r="K233" s="73"/>
    </row>
    <row x14ac:dyDescent="0.25" r="234" customHeight="1" ht="18.75">
      <c r="A234" s="3" t="s">
        <v>1051</v>
      </c>
      <c r="B234" s="1"/>
      <c r="C234" s="1"/>
      <c r="D234" s="4"/>
      <c r="E234" s="4"/>
      <c r="F234" s="4"/>
      <c r="G234" s="1"/>
      <c r="H234" s="1"/>
      <c r="I234" s="70"/>
      <c r="J234" s="3"/>
      <c r="K234" s="73"/>
    </row>
    <row x14ac:dyDescent="0.25" r="235" customHeight="1" ht="18.75">
      <c r="A235" s="3" t="s">
        <v>1051</v>
      </c>
      <c r="B235" s="1"/>
      <c r="C235" s="1"/>
      <c r="D235" s="4"/>
      <c r="E235" s="4"/>
      <c r="F235" s="4"/>
      <c r="G235" s="1"/>
      <c r="H235" s="1"/>
      <c r="I235" s="70"/>
      <c r="J235" s="3"/>
      <c r="K235" s="73"/>
    </row>
    <row x14ac:dyDescent="0.25" r="236" customHeight="1" ht="18.75">
      <c r="A236" s="3" t="s">
        <v>1051</v>
      </c>
      <c r="B236" s="1"/>
      <c r="C236" s="1"/>
      <c r="D236" s="4"/>
      <c r="E236" s="4"/>
      <c r="F236" s="4"/>
      <c r="G236" s="1"/>
      <c r="H236" s="1"/>
      <c r="I236" s="70"/>
      <c r="J236" s="3"/>
      <c r="K236" s="73"/>
    </row>
    <row x14ac:dyDescent="0.25" r="237" customHeight="1" ht="18.75">
      <c r="A237" s="3" t="s">
        <v>1051</v>
      </c>
      <c r="B237" s="1"/>
      <c r="C237" s="1"/>
      <c r="D237" s="4"/>
      <c r="E237" s="4"/>
      <c r="F237" s="4"/>
      <c r="G237" s="1"/>
      <c r="H237" s="1"/>
      <c r="I237" s="70"/>
      <c r="J237" s="3"/>
      <c r="K237" s="73"/>
    </row>
    <row x14ac:dyDescent="0.25" r="238" customHeight="1" ht="18.75">
      <c r="A238" s="3" t="s">
        <v>1051</v>
      </c>
      <c r="B238" s="1"/>
      <c r="C238" s="1"/>
      <c r="D238" s="4"/>
      <c r="E238" s="4"/>
      <c r="F238" s="4"/>
      <c r="G238" s="1"/>
      <c r="H238" s="1"/>
      <c r="I238" s="70"/>
      <c r="J238" s="3"/>
      <c r="K238" s="73"/>
    </row>
    <row x14ac:dyDescent="0.25" r="239" customHeight="1" ht="18.75">
      <c r="A239" s="3" t="s">
        <v>1051</v>
      </c>
      <c r="B239" s="1"/>
      <c r="C239" s="1"/>
      <c r="D239" s="4"/>
      <c r="E239" s="4"/>
      <c r="F239" s="4"/>
      <c r="G239" s="1"/>
      <c r="H239" s="1"/>
      <c r="I239" s="70"/>
      <c r="J239" s="3"/>
      <c r="K239" s="73"/>
    </row>
    <row x14ac:dyDescent="0.25" r="240" customHeight="1" ht="18.75">
      <c r="A240" s="3" t="s">
        <v>1051</v>
      </c>
      <c r="B240" s="1"/>
      <c r="C240" s="1"/>
      <c r="D240" s="4"/>
      <c r="E240" s="4"/>
      <c r="F240" s="4"/>
      <c r="G240" s="1"/>
      <c r="H240" s="1"/>
      <c r="I240" s="70"/>
      <c r="J240" s="3"/>
      <c r="K240" s="73"/>
    </row>
    <row x14ac:dyDescent="0.25" r="241" customHeight="1" ht="18.75">
      <c r="A241" s="3" t="s">
        <v>1051</v>
      </c>
      <c r="B241" s="1"/>
      <c r="C241" s="1"/>
      <c r="D241" s="4"/>
      <c r="E241" s="4"/>
      <c r="F241" s="4"/>
      <c r="G241" s="1"/>
      <c r="H241" s="1"/>
      <c r="I241" s="70"/>
      <c r="J241" s="3"/>
      <c r="K241" s="73"/>
    </row>
    <row x14ac:dyDescent="0.25" r="242" customHeight="1" ht="18.75">
      <c r="A242" s="3" t="s">
        <v>1051</v>
      </c>
      <c r="B242" s="1"/>
      <c r="C242" s="1"/>
      <c r="D242" s="4"/>
      <c r="E242" s="4"/>
      <c r="F242" s="4"/>
      <c r="G242" s="1"/>
      <c r="H242" s="1"/>
      <c r="I242" s="70"/>
      <c r="J242" s="3"/>
      <c r="K242" s="73"/>
    </row>
    <row x14ac:dyDescent="0.25" r="243" customHeight="1" ht="18.75">
      <c r="A243" s="3" t="s">
        <v>1051</v>
      </c>
      <c r="B243" s="1"/>
      <c r="C243" s="1"/>
      <c r="D243" s="4"/>
      <c r="E243" s="4"/>
      <c r="F243" s="4"/>
      <c r="G243" s="1"/>
      <c r="H243" s="1"/>
      <c r="I243" s="70"/>
      <c r="J243" s="3"/>
      <c r="K243" s="73"/>
    </row>
    <row x14ac:dyDescent="0.25" r="244" customHeight="1" ht="18.75">
      <c r="A244" s="3" t="s">
        <v>1051</v>
      </c>
      <c r="B244" s="1"/>
      <c r="C244" s="1"/>
      <c r="D244" s="4"/>
      <c r="E244" s="4"/>
      <c r="F244" s="4"/>
      <c r="G244" s="1"/>
      <c r="H244" s="1"/>
      <c r="I244" s="70"/>
      <c r="J244" s="3"/>
      <c r="K244" s="73"/>
    </row>
    <row x14ac:dyDescent="0.25" r="245" customHeight="1" ht="18.75">
      <c r="A245" s="3" t="s">
        <v>1051</v>
      </c>
      <c r="B245" s="1"/>
      <c r="C245" s="1"/>
      <c r="D245" s="4"/>
      <c r="E245" s="4"/>
      <c r="F245" s="4"/>
      <c r="G245" s="1"/>
      <c r="H245" s="1"/>
      <c r="I245" s="70"/>
      <c r="J245" s="3"/>
      <c r="K245" s="73"/>
    </row>
    <row x14ac:dyDescent="0.25" r="246" customHeight="1" ht="18.75">
      <c r="A246" s="3" t="s">
        <v>1051</v>
      </c>
      <c r="B246" s="1"/>
      <c r="C246" s="1"/>
      <c r="D246" s="4"/>
      <c r="E246" s="4"/>
      <c r="F246" s="4"/>
      <c r="G246" s="1"/>
      <c r="H246" s="1"/>
      <c r="I246" s="70"/>
      <c r="J246" s="3"/>
      <c r="K246" s="73"/>
    </row>
    <row x14ac:dyDescent="0.25" r="247" customHeight="1" ht="18.75">
      <c r="A247" s="3" t="s">
        <v>1051</v>
      </c>
      <c r="B247" s="1"/>
      <c r="C247" s="1"/>
      <c r="D247" s="4"/>
      <c r="E247" s="4"/>
      <c r="F247" s="4"/>
      <c r="G247" s="1"/>
      <c r="H247" s="1"/>
      <c r="I247" s="70"/>
      <c r="J247" s="3"/>
      <c r="K247" s="73"/>
    </row>
    <row x14ac:dyDescent="0.25" r="248" customHeight="1" ht="18.75">
      <c r="A248" s="3" t="s">
        <v>1051</v>
      </c>
      <c r="B248" s="1"/>
      <c r="C248" s="1"/>
      <c r="D248" s="4"/>
      <c r="E248" s="4"/>
      <c r="F248" s="4"/>
      <c r="G248" s="1"/>
      <c r="H248" s="1"/>
      <c r="I248" s="70"/>
      <c r="J248" s="3"/>
      <c r="K248" s="73"/>
    </row>
    <row x14ac:dyDescent="0.25" r="249" customHeight="1" ht="18.75">
      <c r="A249" s="3" t="s">
        <v>1051</v>
      </c>
      <c r="B249" s="1"/>
      <c r="C249" s="1"/>
      <c r="D249" s="4"/>
      <c r="E249" s="4"/>
      <c r="F249" s="4"/>
      <c r="G249" s="1"/>
      <c r="H249" s="1"/>
      <c r="I249" s="70"/>
      <c r="J249" s="3"/>
      <c r="K249" s="73"/>
    </row>
    <row x14ac:dyDescent="0.25" r="250" customHeight="1" ht="18.75">
      <c r="A250" s="3" t="s">
        <v>1051</v>
      </c>
      <c r="B250" s="1"/>
      <c r="C250" s="1"/>
      <c r="D250" s="4"/>
      <c r="E250" s="4"/>
      <c r="F250" s="4"/>
      <c r="G250" s="1"/>
      <c r="H250" s="1"/>
      <c r="I250" s="70"/>
      <c r="J250" s="3"/>
      <c r="K250" s="73"/>
    </row>
    <row x14ac:dyDescent="0.25" r="251" customHeight="1" ht="18.75">
      <c r="A251" s="3" t="s">
        <v>1051</v>
      </c>
      <c r="B251" s="1"/>
      <c r="C251" s="1"/>
      <c r="D251" s="4"/>
      <c r="E251" s="4"/>
      <c r="F251" s="4"/>
      <c r="G251" s="1"/>
      <c r="H251" s="1"/>
      <c r="I251" s="70"/>
      <c r="J251" s="3"/>
      <c r="K251" s="73"/>
    </row>
    <row x14ac:dyDescent="0.25" r="252" customHeight="1" ht="18.75">
      <c r="A252" s="3" t="s">
        <v>1051</v>
      </c>
      <c r="B252" s="1"/>
      <c r="C252" s="1"/>
      <c r="D252" s="4"/>
      <c r="E252" s="4"/>
      <c r="F252" s="4"/>
      <c r="G252" s="1"/>
      <c r="H252" s="1"/>
      <c r="I252" s="70"/>
      <c r="J252" s="3"/>
      <c r="K252" s="73"/>
    </row>
    <row x14ac:dyDescent="0.25" r="253" customHeight="1" ht="18.75">
      <c r="A253" s="3" t="s">
        <v>1051</v>
      </c>
      <c r="B253" s="1"/>
      <c r="C253" s="1"/>
      <c r="D253" s="4"/>
      <c r="E253" s="4"/>
      <c r="F253" s="4"/>
      <c r="G253" s="1"/>
      <c r="H253" s="1"/>
      <c r="I253" s="70"/>
      <c r="J253" s="3"/>
      <c r="K253" s="73"/>
    </row>
    <row x14ac:dyDescent="0.25" r="254" customHeight="1" ht="18.75">
      <c r="A254" s="3" t="s">
        <v>1051</v>
      </c>
      <c r="B254" s="1"/>
      <c r="C254" s="1"/>
      <c r="D254" s="4"/>
      <c r="E254" s="4"/>
      <c r="F254" s="4"/>
      <c r="G254" s="1"/>
      <c r="H254" s="1"/>
      <c r="I254" s="70"/>
      <c r="J254" s="3"/>
      <c r="K254" s="73"/>
    </row>
    <row x14ac:dyDescent="0.25" r="255" customHeight="1" ht="18.75">
      <c r="A255" s="3" t="s">
        <v>1051</v>
      </c>
      <c r="B255" s="1"/>
      <c r="C255" s="1"/>
      <c r="D255" s="4"/>
      <c r="E255" s="4"/>
      <c r="F255" s="4"/>
      <c r="G255" s="1"/>
      <c r="H255" s="1"/>
      <c r="I255" s="70"/>
      <c r="J255" s="3"/>
      <c r="K255" s="73"/>
    </row>
    <row x14ac:dyDescent="0.25" r="256" customHeight="1" ht="18.75">
      <c r="A256" s="3" t="s">
        <v>1051</v>
      </c>
      <c r="B256" s="1"/>
      <c r="C256" s="1"/>
      <c r="D256" s="4"/>
      <c r="E256" s="4"/>
      <c r="F256" s="4"/>
      <c r="G256" s="1"/>
      <c r="H256" s="1"/>
      <c r="I256" s="70"/>
      <c r="J256" s="3"/>
      <c r="K256" s="73"/>
    </row>
    <row x14ac:dyDescent="0.25" r="257" customHeight="1" ht="18.75">
      <c r="A257" s="3" t="s">
        <v>1051</v>
      </c>
      <c r="B257" s="1"/>
      <c r="C257" s="1"/>
      <c r="D257" s="4"/>
      <c r="E257" s="4"/>
      <c r="F257" s="4"/>
      <c r="G257" s="1"/>
      <c r="H257" s="1"/>
      <c r="I257" s="70"/>
      <c r="J257" s="3"/>
      <c r="K257" s="73"/>
    </row>
    <row x14ac:dyDescent="0.25" r="258" customHeight="1" ht="18.75">
      <c r="A258" s="3" t="s">
        <v>1051</v>
      </c>
      <c r="B258" s="1"/>
      <c r="C258" s="1"/>
      <c r="D258" s="4"/>
      <c r="E258" s="4"/>
      <c r="F258" s="4"/>
      <c r="G258" s="1"/>
      <c r="H258" s="1"/>
      <c r="I258" s="70"/>
      <c r="J258" s="3"/>
      <c r="K258" s="73"/>
    </row>
    <row x14ac:dyDescent="0.25" r="259" customHeight="1" ht="18.75">
      <c r="A259" s="3"/>
      <c r="B259" s="1"/>
      <c r="C259" s="1"/>
      <c r="D259" s="4"/>
      <c r="E259" s="4"/>
      <c r="F259" s="4"/>
      <c r="G259" s="1"/>
      <c r="H259" s="1"/>
      <c r="I259" s="70"/>
      <c r="J259" s="3"/>
      <c r="K259" s="73"/>
    </row>
    <row x14ac:dyDescent="0.25" r="260" customHeight="1" ht="18.75">
      <c r="A260" s="3" t="s">
        <v>1051</v>
      </c>
      <c r="B260" s="1"/>
      <c r="C260" s="1"/>
      <c r="D260" s="4"/>
      <c r="E260" s="4"/>
      <c r="F260" s="4"/>
      <c r="G260" s="1"/>
      <c r="H260" s="1"/>
      <c r="I260" s="70"/>
      <c r="J260" s="3"/>
      <c r="K260" s="73"/>
    </row>
    <row x14ac:dyDescent="0.25" r="261" customHeight="1" ht="18.75">
      <c r="A261" s="3" t="s">
        <v>1051</v>
      </c>
      <c r="B261" s="1"/>
      <c r="C261" s="1"/>
      <c r="D261" s="4"/>
      <c r="E261" s="4"/>
      <c r="F261" s="4"/>
      <c r="G261" s="1"/>
      <c r="H261" s="1"/>
      <c r="I261" s="70"/>
      <c r="J261" s="3"/>
      <c r="K261" s="73"/>
    </row>
    <row x14ac:dyDescent="0.25" r="262" customHeight="1" ht="18.75">
      <c r="A262" s="3"/>
      <c r="B262" s="1"/>
      <c r="C262" s="1"/>
      <c r="D262" s="4"/>
      <c r="E262" s="4"/>
      <c r="F262" s="4"/>
      <c r="G262" s="1"/>
      <c r="H262" s="1"/>
      <c r="I262" s="70"/>
      <c r="J262" s="3"/>
      <c r="K262" s="73"/>
    </row>
    <row x14ac:dyDescent="0.25" r="263" customHeight="1" ht="18.75">
      <c r="A263" s="3" t="s">
        <v>1051</v>
      </c>
      <c r="B263" s="1"/>
      <c r="C263" s="1"/>
      <c r="D263" s="4"/>
      <c r="E263" s="4"/>
      <c r="F263" s="4"/>
      <c r="G263" s="1"/>
      <c r="H263" s="1"/>
      <c r="I263" s="70"/>
      <c r="J263" s="3"/>
      <c r="K263" s="73"/>
    </row>
    <row x14ac:dyDescent="0.25" r="264" customHeight="1" ht="18.75">
      <c r="A264" s="3" t="s">
        <v>1051</v>
      </c>
      <c r="B264" s="1"/>
      <c r="C264" s="1"/>
      <c r="D264" s="4"/>
      <c r="E264" s="4"/>
      <c r="F264" s="4"/>
      <c r="G264" s="1"/>
      <c r="H264" s="1"/>
      <c r="I264" s="70"/>
      <c r="J264" s="3"/>
      <c r="K264" s="73"/>
    </row>
    <row x14ac:dyDescent="0.25" r="265" customHeight="1" ht="18.75">
      <c r="A265" s="3" t="s">
        <v>1051</v>
      </c>
      <c r="B265" s="1"/>
      <c r="C265" s="1"/>
      <c r="D265" s="4"/>
      <c r="E265" s="4"/>
      <c r="F265" s="4"/>
      <c r="G265" s="1"/>
      <c r="H265" s="1"/>
      <c r="I265" s="70"/>
      <c r="J265" s="3"/>
      <c r="K265" s="73"/>
    </row>
    <row x14ac:dyDescent="0.25" r="266" customHeight="1" ht="18.75">
      <c r="A266" s="3" t="s">
        <v>1051</v>
      </c>
      <c r="B266" s="1"/>
      <c r="C266" s="1"/>
      <c r="D266" s="4"/>
      <c r="E266" s="4"/>
      <c r="F266" s="4"/>
      <c r="G266" s="1"/>
      <c r="H266" s="1"/>
      <c r="I266" s="70"/>
      <c r="J266" s="3"/>
      <c r="K266" s="73"/>
    </row>
    <row x14ac:dyDescent="0.25" r="267" customHeight="1" ht="18.75">
      <c r="A267" s="3" t="s">
        <v>1051</v>
      </c>
      <c r="B267" s="1"/>
      <c r="C267" s="1"/>
      <c r="D267" s="4"/>
      <c r="E267" s="4"/>
      <c r="F267" s="4"/>
      <c r="G267" s="1"/>
      <c r="H267" s="1"/>
      <c r="I267" s="70"/>
      <c r="J267" s="3"/>
      <c r="K267" s="73"/>
    </row>
    <row x14ac:dyDescent="0.25" r="268" customHeight="1" ht="18.75">
      <c r="A268" s="3" t="s">
        <v>1051</v>
      </c>
      <c r="B268" s="1"/>
      <c r="C268" s="1"/>
      <c r="D268" s="4"/>
      <c r="E268" s="4"/>
      <c r="F268" s="4"/>
      <c r="G268" s="1"/>
      <c r="H268" s="1"/>
      <c r="I268" s="70"/>
      <c r="J268" s="3"/>
      <c r="K268" s="73"/>
    </row>
    <row x14ac:dyDescent="0.25" r="269" customHeight="1" ht="18.75">
      <c r="A269" s="3" t="s">
        <v>1051</v>
      </c>
      <c r="B269" s="1"/>
      <c r="C269" s="1"/>
      <c r="D269" s="4"/>
      <c r="E269" s="4"/>
      <c r="F269" s="4"/>
      <c r="G269" s="1"/>
      <c r="H269" s="1"/>
      <c r="I269" s="70"/>
      <c r="J269" s="3"/>
      <c r="K269" s="73"/>
    </row>
    <row x14ac:dyDescent="0.25" r="270" customHeight="1" ht="18.75">
      <c r="A270" s="3"/>
      <c r="B270" s="1"/>
      <c r="C270" s="1"/>
      <c r="D270" s="4"/>
      <c r="E270" s="4"/>
      <c r="F270" s="4"/>
      <c r="G270" s="1"/>
      <c r="H270" s="1"/>
      <c r="I270" s="70"/>
      <c r="J270" s="3"/>
      <c r="K270" s="73"/>
    </row>
    <row x14ac:dyDescent="0.25" r="271" customHeight="1" ht="18.75">
      <c r="A271" s="3" t="s">
        <v>1051</v>
      </c>
      <c r="B271" s="1"/>
      <c r="C271" s="1"/>
      <c r="D271" s="4"/>
      <c r="E271" s="4"/>
      <c r="F271" s="4"/>
      <c r="G271" s="1"/>
      <c r="H271" s="1"/>
      <c r="I271" s="70"/>
      <c r="J271" s="3"/>
      <c r="K271" s="73"/>
    </row>
    <row x14ac:dyDescent="0.25" r="272" customHeight="1" ht="18.75">
      <c r="A272" s="3" t="s">
        <v>1051</v>
      </c>
      <c r="B272" s="1"/>
      <c r="C272" s="1"/>
      <c r="D272" s="4"/>
      <c r="E272" s="4"/>
      <c r="F272" s="4"/>
      <c r="G272" s="1"/>
      <c r="H272" s="1"/>
      <c r="I272" s="70"/>
      <c r="J272" s="3"/>
      <c r="K272" s="73"/>
    </row>
    <row x14ac:dyDescent="0.25" r="273" customHeight="1" ht="18.75">
      <c r="A273" s="3" t="s">
        <v>1051</v>
      </c>
      <c r="B273" s="1"/>
      <c r="C273" s="1"/>
      <c r="D273" s="4"/>
      <c r="E273" s="4"/>
      <c r="F273" s="4"/>
      <c r="G273" s="1"/>
      <c r="H273" s="1"/>
      <c r="I273" s="70"/>
      <c r="J273" s="3"/>
      <c r="K273" s="73"/>
    </row>
    <row x14ac:dyDescent="0.25" r="274" customHeight="1" ht="18.75">
      <c r="A274" s="3" t="s">
        <v>1051</v>
      </c>
      <c r="B274" s="1"/>
      <c r="C274" s="1"/>
      <c r="D274" s="4"/>
      <c r="E274" s="4"/>
      <c r="F274" s="4"/>
      <c r="G274" s="1"/>
      <c r="H274" s="1"/>
      <c r="I274" s="70"/>
      <c r="J274" s="3"/>
      <c r="K274" s="73"/>
    </row>
    <row x14ac:dyDescent="0.25" r="275" customHeight="1" ht="18.75">
      <c r="A275" s="3" t="s">
        <v>1051</v>
      </c>
      <c r="B275" s="1"/>
      <c r="C275" s="1"/>
      <c r="D275" s="4"/>
      <c r="E275" s="4"/>
      <c r="F275" s="4"/>
      <c r="G275" s="1"/>
      <c r="H275" s="1"/>
      <c r="I275" s="70"/>
      <c r="J275" s="3"/>
      <c r="K275" s="73"/>
    </row>
    <row x14ac:dyDescent="0.25" r="276" customHeight="1" ht="18.75">
      <c r="A276" s="3" t="s">
        <v>1051</v>
      </c>
      <c r="B276" s="1"/>
      <c r="C276" s="1"/>
      <c r="D276" s="4"/>
      <c r="E276" s="4"/>
      <c r="F276" s="4"/>
      <c r="G276" s="1"/>
      <c r="H276" s="1"/>
      <c r="I276" s="70"/>
      <c r="J276" s="3"/>
      <c r="K276" s="73"/>
    </row>
    <row x14ac:dyDescent="0.25" r="277" customHeight="1" ht="18.75">
      <c r="A277" s="3" t="s">
        <v>1051</v>
      </c>
      <c r="B277" s="1"/>
      <c r="C277" s="1"/>
      <c r="D277" s="4"/>
      <c r="E277" s="4"/>
      <c r="F277" s="4"/>
      <c r="G277" s="1"/>
      <c r="H277" s="1"/>
      <c r="I277" s="70"/>
      <c r="J277" s="3"/>
      <c r="K277" s="73"/>
    </row>
    <row x14ac:dyDescent="0.25" r="278" customHeight="1" ht="18.75">
      <c r="A278" s="3" t="s">
        <v>1051</v>
      </c>
      <c r="B278" s="1"/>
      <c r="C278" s="1"/>
      <c r="D278" s="4"/>
      <c r="E278" s="4"/>
      <c r="F278" s="4"/>
      <c r="G278" s="1"/>
      <c r="H278" s="1"/>
      <c r="I278" s="70"/>
      <c r="J278" s="3"/>
      <c r="K278" s="73"/>
    </row>
    <row x14ac:dyDescent="0.25" r="279" customHeight="1" ht="18.75">
      <c r="A279" s="3" t="s">
        <v>1051</v>
      </c>
      <c r="B279" s="1"/>
      <c r="C279" s="1"/>
      <c r="D279" s="4"/>
      <c r="E279" s="4"/>
      <c r="F279" s="4"/>
      <c r="G279" s="1"/>
      <c r="H279" s="1"/>
      <c r="I279" s="70"/>
      <c r="J279" s="3"/>
      <c r="K279" s="73"/>
    </row>
    <row x14ac:dyDescent="0.25" r="280" customHeight="1" ht="18.75">
      <c r="A280" s="3" t="s">
        <v>1051</v>
      </c>
      <c r="B280" s="1"/>
      <c r="C280" s="1"/>
      <c r="D280" s="4"/>
      <c r="E280" s="4"/>
      <c r="F280" s="4"/>
      <c r="G280" s="1"/>
      <c r="H280" s="1"/>
      <c r="I280" s="70"/>
      <c r="J280" s="3"/>
      <c r="K280" s="73"/>
    </row>
    <row x14ac:dyDescent="0.25" r="281" customHeight="1" ht="18.75">
      <c r="A281" s="3"/>
      <c r="B281" s="1"/>
      <c r="C281" s="1"/>
      <c r="D281" s="4"/>
      <c r="E281" s="4"/>
      <c r="F281" s="4"/>
      <c r="G281" s="1"/>
      <c r="H281" s="1"/>
      <c r="I281" s="70"/>
      <c r="J281" s="3"/>
      <c r="K281" s="73"/>
    </row>
    <row x14ac:dyDescent="0.25" r="282" customHeight="1" ht="18.75">
      <c r="A282" s="3" t="s">
        <v>1051</v>
      </c>
      <c r="B282" s="1"/>
      <c r="C282" s="1"/>
      <c r="D282" s="4"/>
      <c r="E282" s="4"/>
      <c r="F282" s="4"/>
      <c r="G282" s="1"/>
      <c r="H282" s="1"/>
      <c r="I282" s="70"/>
      <c r="J282" s="3"/>
      <c r="K282" s="73"/>
    </row>
    <row x14ac:dyDescent="0.25" r="283" customHeight="1" ht="18.75">
      <c r="A283" s="3" t="s">
        <v>1051</v>
      </c>
      <c r="B283" s="1"/>
      <c r="C283" s="1"/>
      <c r="D283" s="4"/>
      <c r="E283" s="4"/>
      <c r="F283" s="4"/>
      <c r="G283" s="1"/>
      <c r="H283" s="1"/>
      <c r="I283" s="70"/>
      <c r="J283" s="3"/>
      <c r="K283" s="73"/>
    </row>
    <row x14ac:dyDescent="0.25" r="284" customHeight="1" ht="18.75">
      <c r="A284" s="3"/>
      <c r="B284" s="1"/>
      <c r="C284" s="1"/>
      <c r="D284" s="4"/>
      <c r="E284" s="4"/>
      <c r="F284" s="4"/>
      <c r="G284" s="1"/>
      <c r="H284" s="1"/>
      <c r="I284" s="70"/>
      <c r="J284" s="3"/>
      <c r="K284" s="73"/>
    </row>
    <row x14ac:dyDescent="0.25" r="285" customHeight="1" ht="18.75">
      <c r="A285" s="3" t="s">
        <v>1051</v>
      </c>
      <c r="B285" s="1"/>
      <c r="C285" s="1"/>
      <c r="D285" s="4"/>
      <c r="E285" s="4"/>
      <c r="F285" s="4"/>
      <c r="G285" s="1"/>
      <c r="H285" s="1"/>
      <c r="I285" s="70"/>
      <c r="J285" s="3"/>
      <c r="K285" s="73"/>
    </row>
    <row x14ac:dyDescent="0.25" r="286" customHeight="1" ht="18.75">
      <c r="A286" s="3" t="s">
        <v>1051</v>
      </c>
      <c r="B286" s="1"/>
      <c r="C286" s="1"/>
      <c r="D286" s="4"/>
      <c r="E286" s="4"/>
      <c r="F286" s="4"/>
      <c r="G286" s="1"/>
      <c r="H286" s="1"/>
      <c r="I286" s="70"/>
      <c r="J286" s="3"/>
      <c r="K286" s="73"/>
    </row>
    <row x14ac:dyDescent="0.25" r="287" customHeight="1" ht="18.75">
      <c r="A287" s="3" t="s">
        <v>1051</v>
      </c>
      <c r="B287" s="1"/>
      <c r="C287" s="1"/>
      <c r="D287" s="4"/>
      <c r="E287" s="4"/>
      <c r="F287" s="4"/>
      <c r="G287" s="1"/>
      <c r="H287" s="1"/>
      <c r="I287" s="70"/>
      <c r="J287" s="3"/>
      <c r="K287" s="73"/>
    </row>
    <row x14ac:dyDescent="0.25" r="288" customHeight="1" ht="18.75">
      <c r="A288" s="3" t="s">
        <v>1051</v>
      </c>
      <c r="B288" s="1"/>
      <c r="C288" s="1"/>
      <c r="D288" s="4"/>
      <c r="E288" s="4"/>
      <c r="F288" s="4"/>
      <c r="G288" s="1"/>
      <c r="H288" s="1"/>
      <c r="I288" s="70"/>
      <c r="J288" s="3"/>
      <c r="K288" s="73"/>
    </row>
    <row x14ac:dyDescent="0.25" r="289" customHeight="1" ht="18.75">
      <c r="A289" s="3" t="s">
        <v>1051</v>
      </c>
      <c r="B289" s="1"/>
      <c r="C289" s="1"/>
      <c r="D289" s="4"/>
      <c r="E289" s="4"/>
      <c r="F289" s="4"/>
      <c r="G289" s="1"/>
      <c r="H289" s="1"/>
      <c r="I289" s="70"/>
      <c r="J289" s="3"/>
      <c r="K289" s="73"/>
    </row>
    <row x14ac:dyDescent="0.25" r="290" customHeight="1" ht="18.75">
      <c r="A290" s="3" t="s">
        <v>1051</v>
      </c>
      <c r="B290" s="1"/>
      <c r="C290" s="1"/>
      <c r="D290" s="4"/>
      <c r="E290" s="4"/>
      <c r="F290" s="4"/>
      <c r="G290" s="1"/>
      <c r="H290" s="1"/>
      <c r="I290" s="70"/>
      <c r="J290" s="3"/>
      <c r="K290" s="73"/>
    </row>
    <row x14ac:dyDescent="0.25" r="291" customHeight="1" ht="18.75">
      <c r="A291" s="3" t="s">
        <v>1051</v>
      </c>
      <c r="B291" s="1"/>
      <c r="C291" s="1"/>
      <c r="D291" s="4"/>
      <c r="E291" s="4"/>
      <c r="F291" s="4"/>
      <c r="G291" s="1"/>
      <c r="H291" s="1"/>
      <c r="I291" s="70"/>
      <c r="J291" s="3"/>
      <c r="K291" s="73"/>
    </row>
    <row x14ac:dyDescent="0.25" r="292" customHeight="1" ht="18.75">
      <c r="A292" s="3" t="s">
        <v>1051</v>
      </c>
      <c r="B292" s="1"/>
      <c r="C292" s="1"/>
      <c r="D292" s="4"/>
      <c r="E292" s="4"/>
      <c r="F292" s="4"/>
      <c r="G292" s="1"/>
      <c r="H292" s="1"/>
      <c r="I292" s="70"/>
      <c r="J292" s="3"/>
      <c r="K292" s="73"/>
    </row>
    <row x14ac:dyDescent="0.25" r="293" customHeight="1" ht="18.75">
      <c r="A293" s="3" t="s">
        <v>1051</v>
      </c>
      <c r="B293" s="1"/>
      <c r="C293" s="1"/>
      <c r="D293" s="4"/>
      <c r="E293" s="4"/>
      <c r="F293" s="4"/>
      <c r="G293" s="1"/>
      <c r="H293" s="1"/>
      <c r="I293" s="70"/>
      <c r="J293" s="3"/>
      <c r="K293" s="73"/>
    </row>
    <row x14ac:dyDescent="0.25" r="294" customHeight="1" ht="18.75">
      <c r="A294" s="3" t="s">
        <v>1051</v>
      </c>
      <c r="B294" s="1"/>
      <c r="C294" s="1"/>
      <c r="D294" s="4"/>
      <c r="E294" s="4"/>
      <c r="F294" s="4"/>
      <c r="G294" s="1"/>
      <c r="H294" s="1"/>
      <c r="I294" s="70"/>
      <c r="J294" s="3"/>
      <c r="K294" s="73"/>
    </row>
    <row x14ac:dyDescent="0.25" r="295" customHeight="1" ht="18.75">
      <c r="A295" s="3" t="s">
        <v>1051</v>
      </c>
      <c r="B295" s="1"/>
      <c r="C295" s="1"/>
      <c r="D295" s="4"/>
      <c r="E295" s="4"/>
      <c r="F295" s="4"/>
      <c r="G295" s="1"/>
      <c r="H295" s="1"/>
      <c r="I295" s="70"/>
      <c r="J295" s="3"/>
      <c r="K295" s="73"/>
    </row>
    <row x14ac:dyDescent="0.25" r="296" customHeight="1" ht="18.75">
      <c r="A296" s="3" t="s">
        <v>1051</v>
      </c>
      <c r="B296" s="1"/>
      <c r="C296" s="1"/>
      <c r="D296" s="4"/>
      <c r="E296" s="4"/>
      <c r="F296" s="4"/>
      <c r="G296" s="1"/>
      <c r="H296" s="1"/>
      <c r="I296" s="70"/>
      <c r="J296" s="3"/>
      <c r="K296" s="73"/>
    </row>
    <row x14ac:dyDescent="0.25" r="297" customHeight="1" ht="18.75">
      <c r="A297" s="3" t="s">
        <v>1051</v>
      </c>
      <c r="B297" s="1"/>
      <c r="C297" s="1"/>
      <c r="D297" s="4"/>
      <c r="E297" s="4"/>
      <c r="F297" s="4"/>
      <c r="G297" s="1"/>
      <c r="H297" s="1"/>
      <c r="I297" s="70"/>
      <c r="J297" s="3"/>
      <c r="K297" s="73"/>
    </row>
    <row x14ac:dyDescent="0.25" r="298" customHeight="1" ht="18.75">
      <c r="A298" s="3" t="s">
        <v>1051</v>
      </c>
      <c r="B298" s="1"/>
      <c r="C298" s="1"/>
      <c r="D298" s="4"/>
      <c r="E298" s="4"/>
      <c r="F298" s="4"/>
      <c r="G298" s="1"/>
      <c r="H298" s="1"/>
      <c r="I298" s="70"/>
      <c r="J298" s="3"/>
      <c r="K298" s="73"/>
    </row>
    <row x14ac:dyDescent="0.25" r="299" customHeight="1" ht="18.75">
      <c r="A299" s="3" t="s">
        <v>1051</v>
      </c>
      <c r="B299" s="1"/>
      <c r="C299" s="1"/>
      <c r="D299" s="4"/>
      <c r="E299" s="4"/>
      <c r="F299" s="4"/>
      <c r="G299" s="1"/>
      <c r="H299" s="1"/>
      <c r="I299" s="70"/>
      <c r="J299" s="3"/>
      <c r="K299" s="73"/>
    </row>
    <row x14ac:dyDescent="0.25" r="300" customHeight="1" ht="18.75">
      <c r="A300" s="3"/>
      <c r="B300" s="1"/>
      <c r="C300" s="1"/>
      <c r="D300" s="4"/>
      <c r="E300" s="4"/>
      <c r="F300" s="4"/>
      <c r="G300" s="1"/>
      <c r="H300" s="1"/>
      <c r="I300" s="70"/>
      <c r="J300" s="3"/>
      <c r="K300" s="73"/>
    </row>
    <row x14ac:dyDescent="0.25" r="301" customHeight="1" ht="18.75">
      <c r="A301" s="3" t="s">
        <v>1051</v>
      </c>
      <c r="B301" s="1"/>
      <c r="C301" s="1"/>
      <c r="D301" s="4"/>
      <c r="E301" s="4"/>
      <c r="F301" s="4"/>
      <c r="G301" s="1"/>
      <c r="H301" s="1"/>
      <c r="I301" s="70"/>
      <c r="J301" s="3"/>
      <c r="K301" s="73"/>
    </row>
    <row x14ac:dyDescent="0.25" r="302" customHeight="1" ht="18.75">
      <c r="A302" s="3" t="s">
        <v>1051</v>
      </c>
      <c r="B302" s="1"/>
      <c r="C302" s="1"/>
      <c r="D302" s="4"/>
      <c r="E302" s="4"/>
      <c r="F302" s="4"/>
      <c r="G302" s="1"/>
      <c r="H302" s="1"/>
      <c r="I302" s="70"/>
      <c r="J302" s="3"/>
      <c r="K302" s="73"/>
    </row>
    <row x14ac:dyDescent="0.25" r="303" customHeight="1" ht="18.75">
      <c r="A303" s="3" t="s">
        <v>1051</v>
      </c>
      <c r="B303" s="1"/>
      <c r="C303" s="1"/>
      <c r="D303" s="4"/>
      <c r="E303" s="4"/>
      <c r="F303" s="4"/>
      <c r="G303" s="1"/>
      <c r="H303" s="1"/>
      <c r="I303" s="70"/>
      <c r="J303" s="3"/>
      <c r="K303" s="73"/>
    </row>
    <row x14ac:dyDescent="0.25" r="304" customHeight="1" ht="18.75">
      <c r="A304" s="3" t="s">
        <v>1051</v>
      </c>
      <c r="B304" s="1"/>
      <c r="C304" s="1"/>
      <c r="D304" s="4"/>
      <c r="E304" s="4"/>
      <c r="F304" s="4"/>
      <c r="G304" s="1"/>
      <c r="H304" s="1"/>
      <c r="I304" s="70"/>
      <c r="J304" s="3"/>
      <c r="K304" s="73"/>
    </row>
    <row x14ac:dyDescent="0.25" r="305" customHeight="1" ht="18.75">
      <c r="A305" s="3" t="s">
        <v>1051</v>
      </c>
      <c r="B305" s="1"/>
      <c r="C305" s="1"/>
      <c r="D305" s="4"/>
      <c r="E305" s="4"/>
      <c r="F305" s="4"/>
      <c r="G305" s="1"/>
      <c r="H305" s="1"/>
      <c r="I305" s="70"/>
      <c r="J305" s="3"/>
      <c r="K305" s="73"/>
    </row>
    <row x14ac:dyDescent="0.25" r="306" customHeight="1" ht="18.75">
      <c r="A306" s="3"/>
      <c r="B306" s="1"/>
      <c r="C306" s="1"/>
      <c r="D306" s="4"/>
      <c r="E306" s="4"/>
      <c r="F306" s="4"/>
      <c r="G306" s="1"/>
      <c r="H306" s="1"/>
      <c r="I306" s="70"/>
      <c r="J306" s="3"/>
      <c r="K306" s="73"/>
    </row>
    <row x14ac:dyDescent="0.25" r="307" customHeight="1" ht="18.75">
      <c r="A307" s="3" t="s">
        <v>1051</v>
      </c>
      <c r="B307" s="1"/>
      <c r="C307" s="1"/>
      <c r="D307" s="4"/>
      <c r="E307" s="4"/>
      <c r="F307" s="4"/>
      <c r="G307" s="1"/>
      <c r="H307" s="1"/>
      <c r="I307" s="70"/>
      <c r="J307" s="3"/>
      <c r="K307" s="73"/>
    </row>
    <row x14ac:dyDescent="0.25" r="308" customHeight="1" ht="18.75">
      <c r="A308" s="3" t="s">
        <v>1051</v>
      </c>
      <c r="B308" s="1"/>
      <c r="C308" s="1"/>
      <c r="D308" s="4"/>
      <c r="E308" s="4"/>
      <c r="F308" s="4"/>
      <c r="G308" s="1"/>
      <c r="H308" s="1"/>
      <c r="I308" s="70"/>
      <c r="J308" s="3"/>
      <c r="K308" s="73"/>
    </row>
    <row x14ac:dyDescent="0.25" r="309" customHeight="1" ht="18.75">
      <c r="A309" s="3" t="s">
        <v>1051</v>
      </c>
      <c r="B309" s="1"/>
      <c r="C309" s="1"/>
      <c r="D309" s="4"/>
      <c r="E309" s="4"/>
      <c r="F309" s="4"/>
      <c r="G309" s="1"/>
      <c r="H309" s="1"/>
      <c r="I309" s="70"/>
      <c r="J309" s="3"/>
      <c r="K309" s="73"/>
    </row>
    <row x14ac:dyDescent="0.25" r="310" customHeight="1" ht="18.75">
      <c r="A310" s="3" t="s">
        <v>1051</v>
      </c>
      <c r="B310" s="1"/>
      <c r="C310" s="1"/>
      <c r="D310" s="4"/>
      <c r="E310" s="4"/>
      <c r="F310" s="4"/>
      <c r="G310" s="1"/>
      <c r="H310" s="1"/>
      <c r="I310" s="70"/>
      <c r="J310" s="3"/>
      <c r="K310" s="73"/>
    </row>
    <row x14ac:dyDescent="0.25" r="311" customHeight="1" ht="18.75">
      <c r="A311" s="3" t="s">
        <v>1051</v>
      </c>
      <c r="B311" s="1"/>
      <c r="C311" s="1"/>
      <c r="D311" s="4"/>
      <c r="E311" s="4"/>
      <c r="F311" s="4"/>
      <c r="G311" s="1"/>
      <c r="H311" s="1"/>
      <c r="I311" s="70"/>
      <c r="J311" s="3"/>
      <c r="K311" s="73"/>
    </row>
    <row x14ac:dyDescent="0.25" r="312" customHeight="1" ht="18.75">
      <c r="A312" s="3" t="s">
        <v>1051</v>
      </c>
      <c r="B312" s="1"/>
      <c r="C312" s="1"/>
      <c r="D312" s="4"/>
      <c r="E312" s="4"/>
      <c r="F312" s="4"/>
      <c r="G312" s="1"/>
      <c r="H312" s="1"/>
      <c r="I312" s="70"/>
      <c r="J312" s="3"/>
      <c r="K312" s="73"/>
    </row>
    <row x14ac:dyDescent="0.25" r="313" customHeight="1" ht="18.75">
      <c r="A313" s="3" t="s">
        <v>1051</v>
      </c>
      <c r="B313" s="1"/>
      <c r="C313" s="1"/>
      <c r="D313" s="4"/>
      <c r="E313" s="4"/>
      <c r="F313" s="4"/>
      <c r="G313" s="1"/>
      <c r="H313" s="1"/>
      <c r="I313" s="70"/>
      <c r="J313" s="3"/>
      <c r="K313" s="73"/>
    </row>
    <row x14ac:dyDescent="0.25" r="314" customHeight="1" ht="18.75">
      <c r="A314" s="3" t="s">
        <v>1051</v>
      </c>
      <c r="B314" s="1"/>
      <c r="C314" s="1"/>
      <c r="D314" s="4"/>
      <c r="E314" s="4"/>
      <c r="F314" s="4"/>
      <c r="G314" s="1"/>
      <c r="H314" s="1"/>
      <c r="I314" s="70"/>
      <c r="J314" s="3"/>
      <c r="K314" s="73"/>
    </row>
    <row x14ac:dyDescent="0.25" r="315" customHeight="1" ht="18.75">
      <c r="A315" s="3" t="s">
        <v>1051</v>
      </c>
      <c r="B315" s="1"/>
      <c r="C315" s="1"/>
      <c r="D315" s="4"/>
      <c r="E315" s="4"/>
      <c r="F315" s="4"/>
      <c r="G315" s="1"/>
      <c r="H315" s="1"/>
      <c r="I315" s="70"/>
      <c r="J315" s="3"/>
      <c r="K315" s="73"/>
    </row>
    <row x14ac:dyDescent="0.25" r="316" customHeight="1" ht="18.75">
      <c r="A316" s="3" t="s">
        <v>1051</v>
      </c>
      <c r="B316" s="1"/>
      <c r="C316" s="1"/>
      <c r="D316" s="4"/>
      <c r="E316" s="4"/>
      <c r="F316" s="4"/>
      <c r="G316" s="1"/>
      <c r="H316" s="1"/>
      <c r="I316" s="70"/>
      <c r="J316" s="3"/>
      <c r="K316" s="73"/>
    </row>
    <row x14ac:dyDescent="0.25" r="317" customHeight="1" ht="18.75">
      <c r="A317" s="3" t="s">
        <v>1051</v>
      </c>
      <c r="B317" s="1"/>
      <c r="C317" s="1"/>
      <c r="D317" s="4"/>
      <c r="E317" s="4"/>
      <c r="F317" s="4"/>
      <c r="G317" s="1"/>
      <c r="H317" s="1"/>
      <c r="I317" s="70"/>
      <c r="J317" s="3"/>
      <c r="K317" s="73"/>
    </row>
    <row x14ac:dyDescent="0.25" r="318" customHeight="1" ht="18.75">
      <c r="A318" s="3" t="s">
        <v>1051</v>
      </c>
      <c r="B318" s="1"/>
      <c r="C318" s="1"/>
      <c r="D318" s="4"/>
      <c r="E318" s="4"/>
      <c r="F318" s="4"/>
      <c r="G318" s="1"/>
      <c r="H318" s="1"/>
      <c r="I318" s="70"/>
      <c r="J318" s="3"/>
      <c r="K318" s="73"/>
    </row>
    <row x14ac:dyDescent="0.25" r="319" customHeight="1" ht="18.75">
      <c r="A319" s="3" t="s">
        <v>1051</v>
      </c>
      <c r="B319" s="1"/>
      <c r="C319" s="1"/>
      <c r="D319" s="4"/>
      <c r="E319" s="4"/>
      <c r="F319" s="4"/>
      <c r="G319" s="1"/>
      <c r="H319" s="1"/>
      <c r="I319" s="70"/>
      <c r="J319" s="3"/>
      <c r="K319" s="73"/>
    </row>
    <row x14ac:dyDescent="0.25" r="320" customHeight="1" ht="18.75">
      <c r="A320" s="3" t="s">
        <v>1051</v>
      </c>
      <c r="B320" s="1"/>
      <c r="C320" s="1"/>
      <c r="D320" s="4"/>
      <c r="E320" s="4"/>
      <c r="F320" s="4"/>
      <c r="G320" s="1"/>
      <c r="H320" s="1"/>
      <c r="I320" s="70"/>
      <c r="J320" s="3"/>
      <c r="K320" s="73"/>
    </row>
    <row x14ac:dyDescent="0.25" r="321" customHeight="1" ht="18.75">
      <c r="A321" s="3" t="s">
        <v>1051</v>
      </c>
      <c r="B321" s="1"/>
      <c r="C321" s="1"/>
      <c r="D321" s="4"/>
      <c r="E321" s="4"/>
      <c r="F321" s="4"/>
      <c r="G321" s="1"/>
      <c r="H321" s="1"/>
      <c r="I321" s="70"/>
      <c r="J321" s="3"/>
      <c r="K321" s="73"/>
    </row>
    <row x14ac:dyDescent="0.25" r="322" customHeight="1" ht="18.75">
      <c r="A322" s="3" t="s">
        <v>1051</v>
      </c>
      <c r="B322" s="1"/>
      <c r="C322" s="1"/>
      <c r="D322" s="4"/>
      <c r="E322" s="4"/>
      <c r="F322" s="4"/>
      <c r="G322" s="1"/>
      <c r="H322" s="1"/>
      <c r="I322" s="70"/>
      <c r="J322" s="3"/>
      <c r="K322" s="73"/>
    </row>
    <row x14ac:dyDescent="0.25" r="323" customHeight="1" ht="18.75">
      <c r="A323" s="3" t="s">
        <v>1051</v>
      </c>
      <c r="B323" s="1"/>
      <c r="C323" s="1"/>
      <c r="D323" s="4"/>
      <c r="E323" s="4"/>
      <c r="F323" s="4"/>
      <c r="G323" s="1"/>
      <c r="H323" s="1"/>
      <c r="I323" s="70"/>
      <c r="J323" s="3"/>
      <c r="K323" s="73"/>
    </row>
    <row x14ac:dyDescent="0.25" r="324" customHeight="1" ht="18.75">
      <c r="A324" s="3" t="s">
        <v>1051</v>
      </c>
      <c r="B324" s="1"/>
      <c r="C324" s="1"/>
      <c r="D324" s="4"/>
      <c r="E324" s="4"/>
      <c r="F324" s="4"/>
      <c r="G324" s="1"/>
      <c r="H324" s="1"/>
      <c r="I324" s="70"/>
      <c r="J324" s="3"/>
      <c r="K324" s="73"/>
    </row>
    <row x14ac:dyDescent="0.25" r="325" customHeight="1" ht="18.75">
      <c r="A325" s="3" t="s">
        <v>1051</v>
      </c>
      <c r="B325" s="1"/>
      <c r="C325" s="1"/>
      <c r="D325" s="4"/>
      <c r="E325" s="4"/>
      <c r="F325" s="4"/>
      <c r="G325" s="1"/>
      <c r="H325" s="1"/>
      <c r="I325" s="70"/>
      <c r="J325" s="3"/>
      <c r="K325" s="73"/>
    </row>
    <row x14ac:dyDescent="0.25" r="326" customHeight="1" ht="18.75">
      <c r="A326" s="3" t="s">
        <v>1051</v>
      </c>
      <c r="B326" s="1"/>
      <c r="C326" s="1"/>
      <c r="D326" s="4"/>
      <c r="E326" s="4"/>
      <c r="F326" s="4"/>
      <c r="G326" s="1"/>
      <c r="H326" s="1"/>
      <c r="I326" s="70"/>
      <c r="J326" s="3"/>
      <c r="K326" s="73"/>
    </row>
    <row x14ac:dyDescent="0.25" r="327" customHeight="1" ht="18.75">
      <c r="A327" s="3" t="s">
        <v>1051</v>
      </c>
      <c r="B327" s="1"/>
      <c r="C327" s="1"/>
      <c r="D327" s="4"/>
      <c r="E327" s="4"/>
      <c r="F327" s="4"/>
      <c r="G327" s="1"/>
      <c r="H327" s="1"/>
      <c r="I327" s="70"/>
      <c r="J327" s="3"/>
      <c r="K327" s="73"/>
    </row>
    <row x14ac:dyDescent="0.25" r="328" customHeight="1" ht="18.75">
      <c r="A328" s="3"/>
      <c r="B328" s="1"/>
      <c r="C328" s="1"/>
      <c r="D328" s="4"/>
      <c r="E328" s="4"/>
      <c r="F328" s="4"/>
      <c r="G328" s="1"/>
      <c r="H328" s="1"/>
      <c r="I328" s="70"/>
      <c r="J328" s="3"/>
      <c r="K328" s="73"/>
    </row>
    <row x14ac:dyDescent="0.25" r="329" customHeight="1" ht="18.75">
      <c r="A329" s="3" t="s">
        <v>1051</v>
      </c>
      <c r="B329" s="1"/>
      <c r="C329" s="1"/>
      <c r="D329" s="4"/>
      <c r="E329" s="4"/>
      <c r="F329" s="4"/>
      <c r="G329" s="1"/>
      <c r="H329" s="1"/>
      <c r="I329" s="70"/>
      <c r="J329" s="3"/>
      <c r="K329" s="73"/>
    </row>
    <row x14ac:dyDescent="0.25" r="330" customHeight="1" ht="18.75">
      <c r="A330" s="3"/>
      <c r="B330" s="1"/>
      <c r="C330" s="1"/>
      <c r="D330" s="4"/>
      <c r="E330" s="4"/>
      <c r="F330" s="4"/>
      <c r="G330" s="1"/>
      <c r="H330" s="1"/>
      <c r="I330" s="70"/>
      <c r="J330" s="3"/>
      <c r="K330" s="73"/>
    </row>
    <row x14ac:dyDescent="0.25" r="331" customHeight="1" ht="18.75">
      <c r="A331" s="3" t="s">
        <v>1051</v>
      </c>
      <c r="B331" s="1"/>
      <c r="C331" s="1"/>
      <c r="D331" s="4"/>
      <c r="E331" s="4"/>
      <c r="F331" s="4"/>
      <c r="G331" s="1"/>
      <c r="H331" s="1"/>
      <c r="I331" s="70"/>
      <c r="J331" s="3"/>
      <c r="K331" s="73"/>
    </row>
    <row x14ac:dyDescent="0.25" r="332" customHeight="1" ht="18.75">
      <c r="A332" s="3" t="s">
        <v>1051</v>
      </c>
      <c r="B332" s="1"/>
      <c r="C332" s="1"/>
      <c r="D332" s="4"/>
      <c r="E332" s="4"/>
      <c r="F332" s="4"/>
      <c r="G332" s="1"/>
      <c r="H332" s="1"/>
      <c r="I332" s="70"/>
      <c r="J332" s="3"/>
      <c r="K332" s="73"/>
    </row>
    <row x14ac:dyDescent="0.25" r="333" customHeight="1" ht="18.75">
      <c r="A333" s="3"/>
      <c r="B333" s="1"/>
      <c r="C333" s="1"/>
      <c r="D333" s="4"/>
      <c r="E333" s="4"/>
      <c r="F333" s="4"/>
      <c r="G333" s="1"/>
      <c r="H333" s="1"/>
      <c r="I333" s="70"/>
      <c r="J333" s="3"/>
      <c r="K333" s="73"/>
    </row>
    <row x14ac:dyDescent="0.25" r="334" customHeight="1" ht="18.75">
      <c r="A334" s="3" t="s">
        <v>1051</v>
      </c>
      <c r="B334" s="1"/>
      <c r="C334" s="1"/>
      <c r="D334" s="4"/>
      <c r="E334" s="4"/>
      <c r="F334" s="4"/>
      <c r="G334" s="1"/>
      <c r="H334" s="1"/>
      <c r="I334" s="70"/>
      <c r="J334" s="3"/>
      <c r="K334" s="73"/>
    </row>
    <row x14ac:dyDescent="0.25" r="335" customHeight="1" ht="18.75">
      <c r="A335" s="3" t="s">
        <v>1051</v>
      </c>
      <c r="B335" s="1"/>
      <c r="C335" s="1"/>
      <c r="D335" s="4"/>
      <c r="E335" s="4"/>
      <c r="F335" s="4"/>
      <c r="G335" s="1"/>
      <c r="H335" s="1"/>
      <c r="I335" s="70"/>
      <c r="J335" s="3"/>
      <c r="K335" s="73"/>
    </row>
    <row x14ac:dyDescent="0.25" r="336" customHeight="1" ht="18.75">
      <c r="A336" s="3" t="s">
        <v>1051</v>
      </c>
      <c r="B336" s="1"/>
      <c r="C336" s="1"/>
      <c r="D336" s="4"/>
      <c r="E336" s="4"/>
      <c r="F336" s="4"/>
      <c r="G336" s="1"/>
      <c r="H336" s="1"/>
      <c r="I336" s="70"/>
      <c r="J336" s="3"/>
      <c r="K336" s="73"/>
    </row>
    <row x14ac:dyDescent="0.25" r="337" customHeight="1" ht="18.75">
      <c r="A337" s="3" t="s">
        <v>1051</v>
      </c>
      <c r="B337" s="1"/>
      <c r="C337" s="1"/>
      <c r="D337" s="4"/>
      <c r="E337" s="4"/>
      <c r="F337" s="4"/>
      <c r="G337" s="1"/>
      <c r="H337" s="1"/>
      <c r="I337" s="70"/>
      <c r="J337" s="3"/>
      <c r="K337" s="73"/>
    </row>
    <row x14ac:dyDescent="0.25" r="338" customHeight="1" ht="18.75">
      <c r="A338" s="3" t="s">
        <v>1051</v>
      </c>
      <c r="B338" s="1"/>
      <c r="C338" s="1"/>
      <c r="D338" s="4"/>
      <c r="E338" s="4"/>
      <c r="F338" s="4"/>
      <c r="G338" s="1"/>
      <c r="H338" s="1"/>
      <c r="I338" s="70"/>
      <c r="J338" s="3"/>
      <c r="K338" s="73"/>
    </row>
    <row x14ac:dyDescent="0.25" r="339" customHeight="1" ht="18.75">
      <c r="A339" s="3" t="s">
        <v>1051</v>
      </c>
      <c r="B339" s="1"/>
      <c r="C339" s="1"/>
      <c r="D339" s="4"/>
      <c r="E339" s="4"/>
      <c r="F339" s="4"/>
      <c r="G339" s="1"/>
      <c r="H339" s="1"/>
      <c r="I339" s="70"/>
      <c r="J339" s="3"/>
      <c r="K339" s="73"/>
    </row>
    <row x14ac:dyDescent="0.25" r="340" customHeight="1" ht="18.75">
      <c r="A340" s="3" t="s">
        <v>1051</v>
      </c>
      <c r="B340" s="1"/>
      <c r="C340" s="1"/>
      <c r="D340" s="4"/>
      <c r="E340" s="4"/>
      <c r="F340" s="4"/>
      <c r="G340" s="1"/>
      <c r="H340" s="1"/>
      <c r="I340" s="70"/>
      <c r="J340" s="3"/>
      <c r="K340" s="73"/>
    </row>
    <row x14ac:dyDescent="0.25" r="341" customHeight="1" ht="18.75">
      <c r="A341" s="3" t="s">
        <v>1051</v>
      </c>
      <c r="B341" s="1"/>
      <c r="C341" s="1"/>
      <c r="D341" s="4"/>
      <c r="E341" s="4"/>
      <c r="F341" s="4"/>
      <c r="G341" s="1"/>
      <c r="H341" s="1"/>
      <c r="I341" s="70"/>
      <c r="J341" s="3"/>
      <c r="K341" s="73"/>
    </row>
    <row x14ac:dyDescent="0.25" r="342" customHeight="1" ht="18.75">
      <c r="A342" s="3" t="s">
        <v>1051</v>
      </c>
      <c r="B342" s="1"/>
      <c r="C342" s="1"/>
      <c r="D342" s="4"/>
      <c r="E342" s="4"/>
      <c r="F342" s="4"/>
      <c r="G342" s="1"/>
      <c r="H342" s="1"/>
      <c r="I342" s="70"/>
      <c r="J342" s="3"/>
      <c r="K342" s="73"/>
    </row>
    <row x14ac:dyDescent="0.25" r="343" customHeight="1" ht="18.75">
      <c r="A343" s="3" t="s">
        <v>1051</v>
      </c>
      <c r="B343" s="1"/>
      <c r="C343" s="1"/>
      <c r="D343" s="4"/>
      <c r="E343" s="4"/>
      <c r="F343" s="4"/>
      <c r="G343" s="1"/>
      <c r="H343" s="1"/>
      <c r="I343" s="70"/>
      <c r="J343" s="3"/>
      <c r="K343" s="73"/>
    </row>
    <row x14ac:dyDescent="0.25" r="344" customHeight="1" ht="18.75">
      <c r="A344" s="3" t="s">
        <v>1051</v>
      </c>
      <c r="B344" s="1"/>
      <c r="C344" s="1"/>
      <c r="D344" s="4"/>
      <c r="E344" s="4"/>
      <c r="F344" s="4"/>
      <c r="G344" s="1"/>
      <c r="H344" s="1"/>
      <c r="I344" s="70"/>
      <c r="J344" s="3"/>
      <c r="K344" s="73"/>
    </row>
    <row x14ac:dyDescent="0.25" r="345" customHeight="1" ht="18.75">
      <c r="A345" s="3" t="s">
        <v>1051</v>
      </c>
      <c r="B345" s="1"/>
      <c r="C345" s="1"/>
      <c r="D345" s="4"/>
      <c r="E345" s="4"/>
      <c r="F345" s="4"/>
      <c r="G345" s="1"/>
      <c r="H345" s="1"/>
      <c r="I345" s="70"/>
      <c r="J345" s="3"/>
      <c r="K345" s="73"/>
    </row>
    <row x14ac:dyDescent="0.25" r="346" customHeight="1" ht="18.75">
      <c r="A346" s="3" t="s">
        <v>1051</v>
      </c>
      <c r="B346" s="1"/>
      <c r="C346" s="1"/>
      <c r="D346" s="4"/>
      <c r="E346" s="4"/>
      <c r="F346" s="4"/>
      <c r="G346" s="1"/>
      <c r="H346" s="1"/>
      <c r="I346" s="70"/>
      <c r="J346" s="3"/>
      <c r="K346" s="73"/>
    </row>
    <row x14ac:dyDescent="0.25" r="347" customHeight="1" ht="18.75">
      <c r="A347" s="3" t="s">
        <v>1051</v>
      </c>
      <c r="B347" s="1"/>
      <c r="C347" s="1"/>
      <c r="D347" s="4"/>
      <c r="E347" s="4"/>
      <c r="F347" s="4"/>
      <c r="G347" s="1"/>
      <c r="H347" s="1"/>
      <c r="I347" s="70"/>
      <c r="J347" s="3"/>
      <c r="K347" s="73"/>
    </row>
    <row x14ac:dyDescent="0.25" r="348" customHeight="1" ht="18.75">
      <c r="A348" s="3" t="s">
        <v>1051</v>
      </c>
      <c r="B348" s="1"/>
      <c r="C348" s="1"/>
      <c r="D348" s="4"/>
      <c r="E348" s="4"/>
      <c r="F348" s="4"/>
      <c r="G348" s="1"/>
      <c r="H348" s="1"/>
      <c r="I348" s="70"/>
      <c r="J348" s="3"/>
      <c r="K348" s="73"/>
    </row>
    <row x14ac:dyDescent="0.25" r="349" customHeight="1" ht="18.75">
      <c r="A349" s="3" t="s">
        <v>1051</v>
      </c>
      <c r="B349" s="1"/>
      <c r="C349" s="1"/>
      <c r="D349" s="4"/>
      <c r="E349" s="4"/>
      <c r="F349" s="4"/>
      <c r="G349" s="1"/>
      <c r="H349" s="1"/>
      <c r="I349" s="70"/>
      <c r="J349" s="3"/>
      <c r="K349" s="73"/>
    </row>
    <row x14ac:dyDescent="0.25" r="350" customHeight="1" ht="18.75">
      <c r="A350" s="3" t="s">
        <v>1051</v>
      </c>
      <c r="B350" s="1"/>
      <c r="C350" s="1"/>
      <c r="D350" s="4"/>
      <c r="E350" s="4"/>
      <c r="F350" s="4"/>
      <c r="G350" s="1"/>
      <c r="H350" s="1"/>
      <c r="I350" s="70"/>
      <c r="J350" s="3"/>
      <c r="K350" s="73"/>
    </row>
    <row x14ac:dyDescent="0.25" r="351" customHeight="1" ht="18.75">
      <c r="A351" s="3" t="s">
        <v>1051</v>
      </c>
      <c r="B351" s="1"/>
      <c r="C351" s="1"/>
      <c r="D351" s="4"/>
      <c r="E351" s="4"/>
      <c r="F351" s="4"/>
      <c r="G351" s="1"/>
      <c r="H351" s="1"/>
      <c r="I351" s="70"/>
      <c r="J351" s="3"/>
      <c r="K351" s="73"/>
    </row>
    <row x14ac:dyDescent="0.25" r="352" customHeight="1" ht="18.75">
      <c r="A352" s="3" t="s">
        <v>1051</v>
      </c>
      <c r="B352" s="1"/>
      <c r="C352" s="1"/>
      <c r="D352" s="4"/>
      <c r="E352" s="4"/>
      <c r="F352" s="4"/>
      <c r="G352" s="1"/>
      <c r="H352" s="1"/>
      <c r="I352" s="70"/>
      <c r="J352" s="3"/>
      <c r="K352" s="73"/>
    </row>
    <row x14ac:dyDescent="0.25" r="353" customHeight="1" ht="18.75">
      <c r="A353" s="3" t="s">
        <v>1051</v>
      </c>
      <c r="B353" s="1"/>
      <c r="C353" s="1"/>
      <c r="D353" s="4"/>
      <c r="E353" s="4"/>
      <c r="F353" s="4"/>
      <c r="G353" s="1"/>
      <c r="H353" s="1"/>
      <c r="I353" s="70"/>
      <c r="J353" s="3"/>
      <c r="K353" s="73"/>
    </row>
    <row x14ac:dyDescent="0.25" r="354" customHeight="1" ht="18.75">
      <c r="A354" s="3" t="s">
        <v>1051</v>
      </c>
      <c r="B354" s="1"/>
      <c r="C354" s="1"/>
      <c r="D354" s="4"/>
      <c r="E354" s="4"/>
      <c r="F354" s="4"/>
      <c r="G354" s="1"/>
      <c r="H354" s="1"/>
      <c r="I354" s="70"/>
      <c r="J354" s="3"/>
      <c r="K354" s="73"/>
    </row>
    <row x14ac:dyDescent="0.25" r="355" customHeight="1" ht="18.75">
      <c r="A355" s="3" t="s">
        <v>1051</v>
      </c>
      <c r="B355" s="1"/>
      <c r="C355" s="1"/>
      <c r="D355" s="4"/>
      <c r="E355" s="4"/>
      <c r="F355" s="4"/>
      <c r="G355" s="1"/>
      <c r="H355" s="1"/>
      <c r="I355" s="70"/>
      <c r="J355" s="3"/>
      <c r="K355" s="73"/>
    </row>
    <row x14ac:dyDescent="0.25" r="356" customHeight="1" ht="18.75">
      <c r="A356" s="3" t="s">
        <v>1051</v>
      </c>
      <c r="B356" s="1"/>
      <c r="C356" s="1"/>
      <c r="D356" s="4"/>
      <c r="E356" s="4"/>
      <c r="F356" s="4"/>
      <c r="G356" s="1"/>
      <c r="H356" s="1"/>
      <c r="I356" s="70"/>
      <c r="J356" s="3"/>
      <c r="K356" s="73"/>
    </row>
    <row x14ac:dyDescent="0.25" r="357" customHeight="1" ht="18.75">
      <c r="A357" s="3" t="s">
        <v>1051</v>
      </c>
      <c r="B357" s="1"/>
      <c r="C357" s="1"/>
      <c r="D357" s="4"/>
      <c r="E357" s="4"/>
      <c r="F357" s="4"/>
      <c r="G357" s="1"/>
      <c r="H357" s="1"/>
      <c r="I357" s="70"/>
      <c r="J357" s="3"/>
      <c r="K357" s="73"/>
    </row>
    <row x14ac:dyDescent="0.25" r="358" customHeight="1" ht="18.75">
      <c r="A358" s="3" t="s">
        <v>1051</v>
      </c>
      <c r="B358" s="1"/>
      <c r="C358" s="1"/>
      <c r="D358" s="4"/>
      <c r="E358" s="4"/>
      <c r="F358" s="4"/>
      <c r="G358" s="1"/>
      <c r="H358" s="1"/>
      <c r="I358" s="70"/>
      <c r="J358" s="3"/>
      <c r="K358" s="73"/>
    </row>
    <row x14ac:dyDescent="0.25" r="359" customHeight="1" ht="18.75">
      <c r="A359" s="3" t="s">
        <v>1051</v>
      </c>
      <c r="B359" s="1"/>
      <c r="C359" s="1"/>
      <c r="D359" s="4"/>
      <c r="E359" s="4"/>
      <c r="F359" s="4"/>
      <c r="G359" s="1"/>
      <c r="H359" s="1"/>
      <c r="I359" s="70"/>
      <c r="J359" s="3"/>
      <c r="K359" s="73"/>
    </row>
    <row x14ac:dyDescent="0.25" r="360" customHeight="1" ht="18.75">
      <c r="A360" s="3" t="s">
        <v>1051</v>
      </c>
      <c r="B360" s="1"/>
      <c r="C360" s="1"/>
      <c r="D360" s="4"/>
      <c r="E360" s="4"/>
      <c r="F360" s="4"/>
      <c r="G360" s="1"/>
      <c r="H360" s="1"/>
      <c r="I360" s="70"/>
      <c r="J360" s="3"/>
      <c r="K360" s="73"/>
    </row>
    <row x14ac:dyDescent="0.25" r="361" customHeight="1" ht="18.75">
      <c r="A361" s="3"/>
      <c r="B361" s="1"/>
      <c r="C361" s="1"/>
      <c r="D361" s="4"/>
      <c r="E361" s="4"/>
      <c r="F361" s="4"/>
      <c r="G361" s="1"/>
      <c r="H361" s="1"/>
      <c r="I361" s="70"/>
      <c r="J361" s="3"/>
      <c r="K361" s="73"/>
    </row>
    <row x14ac:dyDescent="0.25" r="362" customHeight="1" ht="18.75">
      <c r="A362" s="3" t="s">
        <v>1051</v>
      </c>
      <c r="B362" s="1"/>
      <c r="C362" s="1"/>
      <c r="D362" s="4"/>
      <c r="E362" s="4"/>
      <c r="F362" s="4"/>
      <c r="G362" s="1"/>
      <c r="H362" s="1"/>
      <c r="I362" s="70"/>
      <c r="J362" s="3"/>
      <c r="K362" s="73"/>
    </row>
    <row x14ac:dyDescent="0.25" r="363" customHeight="1" ht="18.75">
      <c r="A363" s="3" t="s">
        <v>1051</v>
      </c>
      <c r="B363" s="1"/>
      <c r="C363" s="1"/>
      <c r="D363" s="4"/>
      <c r="E363" s="4"/>
      <c r="F363" s="4"/>
      <c r="G363" s="1"/>
      <c r="H363" s="1"/>
      <c r="I363" s="70"/>
      <c r="J363" s="3"/>
      <c r="K363" s="73"/>
    </row>
    <row x14ac:dyDescent="0.25" r="364" customHeight="1" ht="18.75">
      <c r="A364" s="3" t="s">
        <v>1051</v>
      </c>
      <c r="B364" s="1"/>
      <c r="C364" s="1"/>
      <c r="D364" s="4"/>
      <c r="E364" s="4"/>
      <c r="F364" s="4"/>
      <c r="G364" s="1"/>
      <c r="H364" s="1"/>
      <c r="I364" s="70"/>
      <c r="J364" s="3"/>
      <c r="K364" s="73"/>
    </row>
    <row x14ac:dyDescent="0.25" r="365" customHeight="1" ht="18.75">
      <c r="A365" s="3" t="s">
        <v>1051</v>
      </c>
      <c r="B365" s="1"/>
      <c r="C365" s="1"/>
      <c r="D365" s="4"/>
      <c r="E365" s="4"/>
      <c r="F365" s="4"/>
      <c r="G365" s="1"/>
      <c r="H365" s="1"/>
      <c r="I365" s="70"/>
      <c r="J365" s="3"/>
      <c r="K365" s="73"/>
    </row>
    <row x14ac:dyDescent="0.25" r="366" customHeight="1" ht="18.75">
      <c r="A366" s="3" t="s">
        <v>1051</v>
      </c>
      <c r="B366" s="1"/>
      <c r="C366" s="1"/>
      <c r="D366" s="4"/>
      <c r="E366" s="4"/>
      <c r="F366" s="4"/>
      <c r="G366" s="1"/>
      <c r="H366" s="1"/>
      <c r="I366" s="70"/>
      <c r="J366" s="3"/>
      <c r="K366" s="73"/>
    </row>
    <row x14ac:dyDescent="0.25" r="367" customHeight="1" ht="18.75">
      <c r="A367" s="3" t="s">
        <v>1051</v>
      </c>
      <c r="B367" s="1"/>
      <c r="C367" s="1"/>
      <c r="D367" s="4"/>
      <c r="E367" s="4"/>
      <c r="F367" s="4"/>
      <c r="G367" s="1"/>
      <c r="H367" s="1"/>
      <c r="I367" s="70"/>
      <c r="J367" s="3"/>
      <c r="K367" s="73"/>
    </row>
    <row x14ac:dyDescent="0.25" r="368" customHeight="1" ht="18.75">
      <c r="A368" s="3" t="s">
        <v>1051</v>
      </c>
      <c r="B368" s="1"/>
      <c r="C368" s="1"/>
      <c r="D368" s="4"/>
      <c r="E368" s="4"/>
      <c r="F368" s="4"/>
      <c r="G368" s="1"/>
      <c r="H368" s="1"/>
      <c r="I368" s="70"/>
      <c r="J368" s="3"/>
      <c r="K368" s="73"/>
    </row>
    <row x14ac:dyDescent="0.25" r="369" customHeight="1" ht="18.75">
      <c r="A369" s="3" t="s">
        <v>1051</v>
      </c>
      <c r="B369" s="1"/>
      <c r="C369" s="1"/>
      <c r="D369" s="4"/>
      <c r="E369" s="4"/>
      <c r="F369" s="4"/>
      <c r="G369" s="1"/>
      <c r="H369" s="1"/>
      <c r="I369" s="70"/>
      <c r="J369" s="3"/>
      <c r="K369" s="73"/>
    </row>
    <row x14ac:dyDescent="0.25" r="370" customHeight="1" ht="18.75">
      <c r="A370" s="3" t="s">
        <v>1051</v>
      </c>
      <c r="B370" s="1"/>
      <c r="C370" s="1"/>
      <c r="D370" s="4"/>
      <c r="E370" s="4"/>
      <c r="F370" s="4"/>
      <c r="G370" s="1"/>
      <c r="H370" s="1"/>
      <c r="I370" s="70"/>
      <c r="J370" s="3"/>
      <c r="K370" s="73"/>
    </row>
    <row x14ac:dyDescent="0.25" r="371" customHeight="1" ht="18.75">
      <c r="A371" s="3" t="s">
        <v>1051</v>
      </c>
      <c r="B371" s="1"/>
      <c r="C371" s="1"/>
      <c r="D371" s="4"/>
      <c r="E371" s="4"/>
      <c r="F371" s="4"/>
      <c r="G371" s="1"/>
      <c r="H371" s="1"/>
      <c r="I371" s="70"/>
      <c r="J371" s="3"/>
      <c r="K371" s="73"/>
    </row>
    <row x14ac:dyDescent="0.25" r="372" customHeight="1" ht="18.75">
      <c r="A372" s="3" t="s">
        <v>1051</v>
      </c>
      <c r="B372" s="1"/>
      <c r="C372" s="1"/>
      <c r="D372" s="4"/>
      <c r="E372" s="4"/>
      <c r="F372" s="4"/>
      <c r="G372" s="1"/>
      <c r="H372" s="1"/>
      <c r="I372" s="70"/>
      <c r="J372" s="3"/>
      <c r="K372" s="73"/>
    </row>
    <row x14ac:dyDescent="0.25" r="373" customHeight="1" ht="18.75">
      <c r="A373" s="3" t="s">
        <v>1051</v>
      </c>
      <c r="B373" s="1"/>
      <c r="C373" s="1"/>
      <c r="D373" s="4"/>
      <c r="E373" s="4"/>
      <c r="F373" s="4"/>
      <c r="G373" s="1"/>
      <c r="H373" s="1"/>
      <c r="I373" s="70"/>
      <c r="J373" s="3"/>
      <c r="K373" s="73"/>
    </row>
    <row x14ac:dyDescent="0.25" r="374" customHeight="1" ht="18.75">
      <c r="A374" s="3" t="s">
        <v>1051</v>
      </c>
      <c r="B374" s="1"/>
      <c r="C374" s="1"/>
      <c r="D374" s="4"/>
      <c r="E374" s="4"/>
      <c r="F374" s="4"/>
      <c r="G374" s="1"/>
      <c r="H374" s="1"/>
      <c r="I374" s="70"/>
      <c r="J374" s="3"/>
      <c r="K374" s="73"/>
    </row>
    <row x14ac:dyDescent="0.25" r="375" customHeight="1" ht="18.75">
      <c r="A375" s="3" t="s">
        <v>1051</v>
      </c>
      <c r="B375" s="1"/>
      <c r="C375" s="1"/>
      <c r="D375" s="4"/>
      <c r="E375" s="4"/>
      <c r="F375" s="4"/>
      <c r="G375" s="1"/>
      <c r="H375" s="1"/>
      <c r="I375" s="70"/>
      <c r="J375" s="3"/>
      <c r="K375" s="73"/>
    </row>
    <row x14ac:dyDescent="0.25" r="376" customHeight="1" ht="18.75">
      <c r="A376" s="3" t="s">
        <v>1051</v>
      </c>
      <c r="B376" s="1"/>
      <c r="C376" s="1"/>
      <c r="D376" s="4"/>
      <c r="E376" s="4"/>
      <c r="F376" s="4"/>
      <c r="G376" s="1"/>
      <c r="H376" s="1"/>
      <c r="I376" s="70"/>
      <c r="J376" s="3"/>
      <c r="K376" s="73"/>
    </row>
    <row x14ac:dyDescent="0.25" r="377" customHeight="1" ht="18.75">
      <c r="A377" s="3" t="s">
        <v>1051</v>
      </c>
      <c r="B377" s="1"/>
      <c r="C377" s="1"/>
      <c r="D377" s="4"/>
      <c r="E377" s="4"/>
      <c r="F377" s="4"/>
      <c r="G377" s="1"/>
      <c r="H377" s="1"/>
      <c r="I377" s="70"/>
      <c r="J377" s="3"/>
      <c r="K377" s="73"/>
    </row>
    <row x14ac:dyDescent="0.25" r="378" customHeight="1" ht="18.75">
      <c r="A378" s="3" t="s">
        <v>1051</v>
      </c>
      <c r="B378" s="1"/>
      <c r="C378" s="1"/>
      <c r="D378" s="4"/>
      <c r="E378" s="4"/>
      <c r="F378" s="4"/>
      <c r="G378" s="1"/>
      <c r="H378" s="1"/>
      <c r="I378" s="70"/>
      <c r="J378" s="3"/>
      <c r="K378" s="73"/>
    </row>
    <row x14ac:dyDescent="0.25" r="379" customHeight="1" ht="18.75">
      <c r="A379" s="3" t="s">
        <v>1051</v>
      </c>
      <c r="B379" s="1"/>
      <c r="C379" s="1"/>
      <c r="D379" s="4"/>
      <c r="E379" s="4"/>
      <c r="F379" s="4"/>
      <c r="G379" s="1"/>
      <c r="H379" s="1"/>
      <c r="I379" s="70"/>
      <c r="J379" s="3"/>
      <c r="K379" s="73"/>
    </row>
    <row x14ac:dyDescent="0.25" r="380" customHeight="1" ht="18.75">
      <c r="A380" s="3" t="s">
        <v>1051</v>
      </c>
      <c r="B380" s="1"/>
      <c r="C380" s="1"/>
      <c r="D380" s="4"/>
      <c r="E380" s="4"/>
      <c r="F380" s="4"/>
      <c r="G380" s="1"/>
      <c r="H380" s="1"/>
      <c r="I380" s="70"/>
      <c r="J380" s="3"/>
      <c r="K380" s="73"/>
    </row>
    <row x14ac:dyDescent="0.25" r="381" customHeight="1" ht="18.75">
      <c r="A381" s="3" t="s">
        <v>1051</v>
      </c>
      <c r="B381" s="1"/>
      <c r="C381" s="1"/>
      <c r="D381" s="4"/>
      <c r="E381" s="4"/>
      <c r="F381" s="4"/>
      <c r="G381" s="1"/>
      <c r="H381" s="1"/>
      <c r="I381" s="70"/>
      <c r="J381" s="3"/>
      <c r="K381" s="73"/>
    </row>
    <row x14ac:dyDescent="0.25" r="382" customHeight="1" ht="18.75">
      <c r="A382" s="3" t="s">
        <v>1051</v>
      </c>
      <c r="B382" s="1"/>
      <c r="C382" s="1"/>
      <c r="D382" s="4"/>
      <c r="E382" s="4"/>
      <c r="F382" s="4"/>
      <c r="G382" s="1"/>
      <c r="H382" s="1"/>
      <c r="I382" s="70"/>
      <c r="J382" s="3"/>
      <c r="K382" s="73"/>
    </row>
    <row x14ac:dyDescent="0.25" r="383" customHeight="1" ht="18.75">
      <c r="A383" s="3" t="s">
        <v>1051</v>
      </c>
      <c r="B383" s="1"/>
      <c r="C383" s="1"/>
      <c r="D383" s="4"/>
      <c r="E383" s="4"/>
      <c r="F383" s="4"/>
      <c r="G383" s="1"/>
      <c r="H383" s="1"/>
      <c r="I383" s="70"/>
      <c r="J383" s="3"/>
      <c r="K383" s="73"/>
    </row>
    <row x14ac:dyDescent="0.25" r="384" customHeight="1" ht="18.75">
      <c r="A384" s="3" t="s">
        <v>1051</v>
      </c>
      <c r="B384" s="1"/>
      <c r="C384" s="1"/>
      <c r="D384" s="4"/>
      <c r="E384" s="4"/>
      <c r="F384" s="4"/>
      <c r="G384" s="1"/>
      <c r="H384" s="1"/>
      <c r="I384" s="70"/>
      <c r="J384" s="3"/>
      <c r="K384" s="73"/>
    </row>
    <row x14ac:dyDescent="0.25" r="385" customHeight="1" ht="18.75">
      <c r="A385" s="3" t="s">
        <v>1051</v>
      </c>
      <c r="B385" s="1"/>
      <c r="C385" s="1"/>
      <c r="D385" s="4"/>
      <c r="E385" s="4"/>
      <c r="F385" s="4"/>
      <c r="G385" s="1"/>
      <c r="H385" s="1"/>
      <c r="I385" s="70"/>
      <c r="J385" s="3"/>
      <c r="K385" s="73"/>
    </row>
    <row x14ac:dyDescent="0.25" r="386" customHeight="1" ht="18.75">
      <c r="A386" s="3" t="s">
        <v>1051</v>
      </c>
      <c r="B386" s="1"/>
      <c r="C386" s="1"/>
      <c r="D386" s="4"/>
      <c r="E386" s="4"/>
      <c r="F386" s="4"/>
      <c r="G386" s="1"/>
      <c r="H386" s="1"/>
      <c r="I386" s="70"/>
      <c r="J386" s="3"/>
      <c r="K386" s="73"/>
    </row>
    <row x14ac:dyDescent="0.25" r="387" customHeight="1" ht="18.75">
      <c r="A387" s="3" t="s">
        <v>1051</v>
      </c>
      <c r="B387" s="1"/>
      <c r="C387" s="1"/>
      <c r="D387" s="4"/>
      <c r="E387" s="4"/>
      <c r="F387" s="4"/>
      <c r="G387" s="1"/>
      <c r="H387" s="1"/>
      <c r="I387" s="70"/>
      <c r="J387" s="3"/>
      <c r="K387" s="73"/>
    </row>
    <row x14ac:dyDescent="0.25" r="388" customHeight="1" ht="18.75">
      <c r="A388" s="3"/>
      <c r="B388" s="1"/>
      <c r="C388" s="1"/>
      <c r="D388" s="4"/>
      <c r="E388" s="4"/>
      <c r="F388" s="4"/>
      <c r="G388" s="1"/>
      <c r="H388" s="1"/>
      <c r="I388" s="70"/>
      <c r="J388" s="3"/>
      <c r="K388" s="73"/>
    </row>
    <row x14ac:dyDescent="0.25" r="389" customHeight="1" ht="18.75">
      <c r="A389" s="3" t="s">
        <v>1051</v>
      </c>
      <c r="B389" s="1"/>
      <c r="C389" s="1"/>
      <c r="D389" s="4"/>
      <c r="E389" s="4"/>
      <c r="F389" s="4"/>
      <c r="G389" s="1"/>
      <c r="H389" s="1"/>
      <c r="I389" s="70"/>
      <c r="J389" s="3"/>
      <c r="K389" s="73"/>
    </row>
    <row x14ac:dyDescent="0.25" r="390" customHeight="1" ht="18.75">
      <c r="A390" s="3" t="s">
        <v>1051</v>
      </c>
      <c r="B390" s="1"/>
      <c r="C390" s="1"/>
      <c r="D390" s="4"/>
      <c r="E390" s="4"/>
      <c r="F390" s="4"/>
      <c r="G390" s="1"/>
      <c r="H390" s="1"/>
      <c r="I390" s="70"/>
      <c r="J390" s="3"/>
      <c r="K390" s="73"/>
    </row>
    <row x14ac:dyDescent="0.25" r="391" customHeight="1" ht="18.75">
      <c r="A391" s="3" t="s">
        <v>1051</v>
      </c>
      <c r="B391" s="1"/>
      <c r="C391" s="1"/>
      <c r="D391" s="4"/>
      <c r="E391" s="4"/>
      <c r="F391" s="4"/>
      <c r="G391" s="1"/>
      <c r="H391" s="1"/>
      <c r="I391" s="70"/>
      <c r="J391" s="3"/>
      <c r="K391" s="73"/>
    </row>
    <row x14ac:dyDescent="0.25" r="392" customHeight="1" ht="18.75">
      <c r="A392" s="3" t="s">
        <v>1051</v>
      </c>
      <c r="B392" s="1"/>
      <c r="C392" s="1"/>
      <c r="D392" s="4"/>
      <c r="E392" s="4"/>
      <c r="F392" s="4"/>
      <c r="G392" s="1"/>
      <c r="H392" s="1"/>
      <c r="I392" s="70"/>
      <c r="J392" s="3"/>
      <c r="K392" s="73"/>
    </row>
    <row x14ac:dyDescent="0.25" r="393" customHeight="1" ht="18.75">
      <c r="A393" s="3" t="s">
        <v>1051</v>
      </c>
      <c r="B393" s="1"/>
      <c r="C393" s="1"/>
      <c r="D393" s="4"/>
      <c r="E393" s="4"/>
      <c r="F393" s="4"/>
      <c r="G393" s="1"/>
      <c r="H393" s="1"/>
      <c r="I393" s="70"/>
      <c r="J393" s="3"/>
      <c r="K393" s="73"/>
    </row>
    <row x14ac:dyDescent="0.25" r="394" customHeight="1" ht="18.75">
      <c r="A394" s="3" t="s">
        <v>1051</v>
      </c>
      <c r="B394" s="1"/>
      <c r="C394" s="1"/>
      <c r="D394" s="4"/>
      <c r="E394" s="4"/>
      <c r="F394" s="4"/>
      <c r="G394" s="1"/>
      <c r="H394" s="1"/>
      <c r="I394" s="70"/>
      <c r="J394" s="3"/>
      <c r="K394" s="73"/>
    </row>
    <row x14ac:dyDescent="0.25" r="395" customHeight="1" ht="18.75">
      <c r="A395" s="3" t="s">
        <v>1051</v>
      </c>
      <c r="B395" s="1"/>
      <c r="C395" s="1"/>
      <c r="D395" s="4"/>
      <c r="E395" s="4"/>
      <c r="F395" s="4"/>
      <c r="G395" s="1"/>
      <c r="H395" s="1"/>
      <c r="I395" s="70"/>
      <c r="J395" s="3"/>
      <c r="K395" s="73"/>
    </row>
    <row x14ac:dyDescent="0.25" r="396" customHeight="1" ht="18.75">
      <c r="A396" s="3" t="s">
        <v>1051</v>
      </c>
      <c r="B396" s="1"/>
      <c r="C396" s="1"/>
      <c r="D396" s="4"/>
      <c r="E396" s="4"/>
      <c r="F396" s="4"/>
      <c r="G396" s="1"/>
      <c r="H396" s="1"/>
      <c r="I396" s="70"/>
      <c r="J396" s="3"/>
      <c r="K396" s="73"/>
    </row>
    <row x14ac:dyDescent="0.25" r="397" customHeight="1" ht="18.75">
      <c r="A397" s="3" t="s">
        <v>1051</v>
      </c>
      <c r="B397" s="1"/>
      <c r="C397" s="1"/>
      <c r="D397" s="4"/>
      <c r="E397" s="4"/>
      <c r="F397" s="4"/>
      <c r="G397" s="1"/>
      <c r="H397" s="1"/>
      <c r="I397" s="70"/>
      <c r="J397" s="3"/>
      <c r="K397" s="73"/>
    </row>
    <row x14ac:dyDescent="0.25" r="398" customHeight="1" ht="18.75">
      <c r="A398" s="3" t="s">
        <v>1051</v>
      </c>
      <c r="B398" s="1"/>
      <c r="C398" s="1"/>
      <c r="D398" s="4"/>
      <c r="E398" s="4"/>
      <c r="F398" s="4"/>
      <c r="G398" s="1"/>
      <c r="H398" s="1"/>
      <c r="I398" s="70"/>
      <c r="J398" s="3"/>
      <c r="K398" s="73"/>
    </row>
    <row x14ac:dyDescent="0.25" r="399" customHeight="1" ht="18.75">
      <c r="A399" s="3" t="s">
        <v>1051</v>
      </c>
      <c r="B399" s="1"/>
      <c r="C399" s="1"/>
      <c r="D399" s="4"/>
      <c r="E399" s="4"/>
      <c r="F399" s="4"/>
      <c r="G399" s="1"/>
      <c r="H399" s="1"/>
      <c r="I399" s="70"/>
      <c r="J399" s="3"/>
      <c r="K399" s="73"/>
    </row>
    <row x14ac:dyDescent="0.25" r="400" customHeight="1" ht="18.75">
      <c r="A400" s="3" t="s">
        <v>1051</v>
      </c>
      <c r="B400" s="1"/>
      <c r="C400" s="1"/>
      <c r="D400" s="4"/>
      <c r="E400" s="4"/>
      <c r="F400" s="4"/>
      <c r="G400" s="1"/>
      <c r="H400" s="1"/>
      <c r="I400" s="70"/>
      <c r="J400" s="3"/>
      <c r="K400" s="73"/>
    </row>
    <row x14ac:dyDescent="0.25" r="401" customHeight="1" ht="18.75">
      <c r="A401" s="3" t="s">
        <v>1051</v>
      </c>
      <c r="B401" s="1"/>
      <c r="C401" s="1"/>
      <c r="D401" s="4"/>
      <c r="E401" s="4"/>
      <c r="F401" s="4"/>
      <c r="G401" s="1"/>
      <c r="H401" s="1"/>
      <c r="I401" s="70"/>
      <c r="J401" s="3"/>
      <c r="K401" s="73"/>
    </row>
    <row x14ac:dyDescent="0.25" r="402" customHeight="1" ht="18.75">
      <c r="A402" s="3" t="s">
        <v>1051</v>
      </c>
      <c r="B402" s="1"/>
      <c r="C402" s="1"/>
      <c r="D402" s="4"/>
      <c r="E402" s="4"/>
      <c r="F402" s="4"/>
      <c r="G402" s="1"/>
      <c r="H402" s="1"/>
      <c r="I402" s="70"/>
      <c r="J402" s="3"/>
      <c r="K402" s="73"/>
    </row>
    <row x14ac:dyDescent="0.25" r="403" customHeight="1" ht="18.75">
      <c r="A403" s="3" t="s">
        <v>1051</v>
      </c>
      <c r="B403" s="1"/>
      <c r="C403" s="1"/>
      <c r="D403" s="4"/>
      <c r="E403" s="4"/>
      <c r="F403" s="4"/>
      <c r="G403" s="1"/>
      <c r="H403" s="1"/>
      <c r="I403" s="70"/>
      <c r="J403" s="3"/>
      <c r="K403" s="73"/>
    </row>
    <row x14ac:dyDescent="0.25" r="404" customHeight="1" ht="18.75">
      <c r="A404" s="3" t="s">
        <v>1051</v>
      </c>
      <c r="B404" s="1"/>
      <c r="C404" s="1"/>
      <c r="D404" s="4"/>
      <c r="E404" s="4"/>
      <c r="F404" s="4"/>
      <c r="G404" s="1"/>
      <c r="H404" s="1"/>
      <c r="I404" s="70"/>
      <c r="J404" s="3"/>
      <c r="K404" s="73"/>
    </row>
    <row x14ac:dyDescent="0.25" r="405" customHeight="1" ht="18.75">
      <c r="A405" s="3" t="s">
        <v>1051</v>
      </c>
      <c r="B405" s="1"/>
      <c r="C405" s="1"/>
      <c r="D405" s="4"/>
      <c r="E405" s="4"/>
      <c r="F405" s="4"/>
      <c r="G405" s="1"/>
      <c r="H405" s="1"/>
      <c r="I405" s="70"/>
      <c r="J405" s="3"/>
      <c r="K405" s="73"/>
    </row>
    <row x14ac:dyDescent="0.25" r="406" customHeight="1" ht="18.75">
      <c r="A406" s="3" t="s">
        <v>1051</v>
      </c>
      <c r="B406" s="1"/>
      <c r="C406" s="1"/>
      <c r="D406" s="4"/>
      <c r="E406" s="4"/>
      <c r="F406" s="4"/>
      <c r="G406" s="1"/>
      <c r="H406" s="1"/>
      <c r="I406" s="70"/>
      <c r="J406" s="3"/>
      <c r="K406" s="73"/>
    </row>
    <row x14ac:dyDescent="0.25" r="407" customHeight="1" ht="18.75">
      <c r="A407" s="3" t="s">
        <v>1051</v>
      </c>
      <c r="B407" s="1"/>
      <c r="C407" s="1"/>
      <c r="D407" s="4"/>
      <c r="E407" s="4"/>
      <c r="F407" s="4"/>
      <c r="G407" s="1"/>
      <c r="H407" s="1"/>
      <c r="I407" s="70"/>
      <c r="J407" s="3"/>
      <c r="K407" s="73"/>
    </row>
    <row x14ac:dyDescent="0.25" r="408" customHeight="1" ht="18.75">
      <c r="A408" s="3" t="s">
        <v>1051</v>
      </c>
      <c r="B408" s="1"/>
      <c r="C408" s="1"/>
      <c r="D408" s="4"/>
      <c r="E408" s="4"/>
      <c r="F408" s="4"/>
      <c r="G408" s="1"/>
      <c r="H408" s="1"/>
      <c r="I408" s="70"/>
      <c r="J408" s="3"/>
      <c r="K408" s="73"/>
    </row>
    <row x14ac:dyDescent="0.25" r="409" customHeight="1" ht="18.75">
      <c r="A409" s="3" t="s">
        <v>1051</v>
      </c>
      <c r="B409" s="1"/>
      <c r="C409" s="1"/>
      <c r="D409" s="4"/>
      <c r="E409" s="4"/>
      <c r="F409" s="4"/>
      <c r="G409" s="1"/>
      <c r="H409" s="1"/>
      <c r="I409" s="70"/>
      <c r="J409" s="3"/>
      <c r="K409" s="73"/>
    </row>
    <row x14ac:dyDescent="0.25" r="410" customHeight="1" ht="18.75">
      <c r="A410" s="3"/>
      <c r="B410" s="1"/>
      <c r="C410" s="1"/>
      <c r="D410" s="4"/>
      <c r="E410" s="4"/>
      <c r="F410" s="4"/>
      <c r="G410" s="1"/>
      <c r="H410" s="1"/>
      <c r="I410" s="70"/>
      <c r="J410" s="3"/>
      <c r="K410" s="73"/>
    </row>
    <row x14ac:dyDescent="0.25" r="411" customHeight="1" ht="18.75">
      <c r="A411" s="3" t="s">
        <v>1051</v>
      </c>
      <c r="B411" s="1"/>
      <c r="C411" s="1"/>
      <c r="D411" s="4"/>
      <c r="E411" s="4"/>
      <c r="F411" s="4"/>
      <c r="G411" s="1"/>
      <c r="H411" s="1"/>
      <c r="I411" s="70"/>
      <c r="J411" s="3"/>
      <c r="K411" s="73"/>
    </row>
    <row x14ac:dyDescent="0.25" r="412" customHeight="1" ht="18.75">
      <c r="A412" s="3"/>
      <c r="B412" s="1"/>
      <c r="C412" s="1"/>
      <c r="D412" s="4"/>
      <c r="E412" s="4"/>
      <c r="F412" s="4"/>
      <c r="G412" s="1"/>
      <c r="H412" s="1"/>
      <c r="I412" s="70"/>
      <c r="J412" s="3"/>
      <c r="K412" s="73"/>
    </row>
    <row x14ac:dyDescent="0.25" r="413" customHeight="1" ht="18.75">
      <c r="A413" s="3" t="s">
        <v>1051</v>
      </c>
      <c r="B413" s="1"/>
      <c r="C413" s="1"/>
      <c r="D413" s="4"/>
      <c r="E413" s="4"/>
      <c r="F413" s="4"/>
      <c r="G413" s="1"/>
      <c r="H413" s="1"/>
      <c r="I413" s="70"/>
      <c r="J413" s="3"/>
      <c r="K413" s="73"/>
    </row>
    <row x14ac:dyDescent="0.25" r="414" customHeight="1" ht="18.75">
      <c r="A414" s="3"/>
      <c r="B414" s="1"/>
      <c r="C414" s="1"/>
      <c r="D414" s="4"/>
      <c r="E414" s="4"/>
      <c r="F414" s="4"/>
      <c r="G414" s="1"/>
      <c r="H414" s="1"/>
      <c r="I414" s="70"/>
      <c r="J414" s="3"/>
      <c r="K414" s="73"/>
    </row>
    <row x14ac:dyDescent="0.25" r="415" customHeight="1" ht="18.75">
      <c r="A415" s="3" t="s">
        <v>1051</v>
      </c>
      <c r="B415" s="1"/>
      <c r="C415" s="1"/>
      <c r="D415" s="4"/>
      <c r="E415" s="4"/>
      <c r="F415" s="4"/>
      <c r="G415" s="1"/>
      <c r="H415" s="1"/>
      <c r="I415" s="70"/>
      <c r="J415" s="3"/>
      <c r="K415" s="73"/>
    </row>
    <row x14ac:dyDescent="0.25" r="416" customHeight="1" ht="18.75">
      <c r="A416" s="3" t="s">
        <v>1051</v>
      </c>
      <c r="B416" s="1"/>
      <c r="C416" s="1"/>
      <c r="D416" s="4"/>
      <c r="E416" s="4"/>
      <c r="F416" s="4"/>
      <c r="G416" s="1"/>
      <c r="H416" s="1"/>
      <c r="I416" s="70"/>
      <c r="J416" s="3"/>
      <c r="K416" s="73"/>
    </row>
    <row x14ac:dyDescent="0.25" r="417" customHeight="1" ht="18.75">
      <c r="A417" s="3" t="s">
        <v>1051</v>
      </c>
      <c r="B417" s="1"/>
      <c r="C417" s="1"/>
      <c r="D417" s="4"/>
      <c r="E417" s="4"/>
      <c r="F417" s="4"/>
      <c r="G417" s="1"/>
      <c r="H417" s="1"/>
      <c r="I417" s="70"/>
      <c r="J417" s="3"/>
      <c r="K417" s="73"/>
    </row>
    <row x14ac:dyDescent="0.25" r="418" customHeight="1" ht="18.75">
      <c r="A418" s="3" t="s">
        <v>1051</v>
      </c>
      <c r="B418" s="1"/>
      <c r="C418" s="1"/>
      <c r="D418" s="4"/>
      <c r="E418" s="4"/>
      <c r="F418" s="4"/>
      <c r="G418" s="1"/>
      <c r="H418" s="1"/>
      <c r="I418" s="70"/>
      <c r="J418" s="3"/>
      <c r="K418" s="73"/>
    </row>
    <row x14ac:dyDescent="0.25" r="419" customHeight="1" ht="18.75">
      <c r="A419" s="3" t="s">
        <v>1051</v>
      </c>
      <c r="B419" s="1"/>
      <c r="C419" s="1"/>
      <c r="D419" s="4"/>
      <c r="E419" s="4"/>
      <c r="F419" s="4"/>
      <c r="G419" s="1"/>
      <c r="H419" s="1"/>
      <c r="I419" s="70"/>
      <c r="J419" s="3"/>
      <c r="K419" s="73"/>
    </row>
    <row x14ac:dyDescent="0.25" r="420" customHeight="1" ht="18.75">
      <c r="A420" s="3" t="s">
        <v>1051</v>
      </c>
      <c r="B420" s="1"/>
      <c r="C420" s="1"/>
      <c r="D420" s="4"/>
      <c r="E420" s="4"/>
      <c r="F420" s="4"/>
      <c r="G420" s="1"/>
      <c r="H420" s="1"/>
      <c r="I420" s="70"/>
      <c r="J420" s="3"/>
      <c r="K420" s="73"/>
    </row>
    <row x14ac:dyDescent="0.25" r="421" customHeight="1" ht="18.75">
      <c r="A421" s="3" t="s">
        <v>1051</v>
      </c>
      <c r="B421" s="1"/>
      <c r="C421" s="1"/>
      <c r="D421" s="4"/>
      <c r="E421" s="4"/>
      <c r="F421" s="4"/>
      <c r="G421" s="1"/>
      <c r="H421" s="1"/>
      <c r="I421" s="70"/>
      <c r="J421" s="3"/>
      <c r="K421" s="73"/>
    </row>
    <row x14ac:dyDescent="0.25" r="422" customHeight="1" ht="18.75">
      <c r="A422" s="3" t="s">
        <v>1051</v>
      </c>
      <c r="B422" s="1"/>
      <c r="C422" s="1"/>
      <c r="D422" s="4"/>
      <c r="E422" s="4"/>
      <c r="F422" s="4"/>
      <c r="G422" s="1"/>
      <c r="H422" s="1"/>
      <c r="I422" s="70"/>
      <c r="J422" s="3"/>
      <c r="K422" s="73"/>
    </row>
    <row x14ac:dyDescent="0.25" r="423" customHeight="1" ht="18.75">
      <c r="A423" s="3" t="s">
        <v>1051</v>
      </c>
      <c r="B423" s="1"/>
      <c r="C423" s="1"/>
      <c r="D423" s="4"/>
      <c r="E423" s="4"/>
      <c r="F423" s="4"/>
      <c r="G423" s="1"/>
      <c r="H423" s="1"/>
      <c r="I423" s="70"/>
      <c r="J423" s="3"/>
      <c r="K423" s="73"/>
    </row>
    <row x14ac:dyDescent="0.25" r="424" customHeight="1" ht="18.75">
      <c r="A424" s="3" t="s">
        <v>1051</v>
      </c>
      <c r="B424" s="1"/>
      <c r="C424" s="1"/>
      <c r="D424" s="4"/>
      <c r="E424" s="4"/>
      <c r="F424" s="4"/>
      <c r="G424" s="1"/>
      <c r="H424" s="1"/>
      <c r="I424" s="70"/>
      <c r="J424" s="3"/>
      <c r="K424" s="73"/>
    </row>
    <row x14ac:dyDescent="0.25" r="425" customHeight="1" ht="18.75">
      <c r="A425" s="3" t="s">
        <v>1051</v>
      </c>
      <c r="B425" s="1"/>
      <c r="C425" s="1"/>
      <c r="D425" s="4"/>
      <c r="E425" s="4"/>
      <c r="F425" s="4"/>
      <c r="G425" s="1"/>
      <c r="H425" s="1"/>
      <c r="I425" s="70"/>
      <c r="J425" s="3"/>
      <c r="K425" s="73"/>
    </row>
    <row x14ac:dyDescent="0.25" r="426" customHeight="1" ht="18.75">
      <c r="A426" s="3" t="s">
        <v>1051</v>
      </c>
      <c r="B426" s="1"/>
      <c r="C426" s="1"/>
      <c r="D426" s="4"/>
      <c r="E426" s="4"/>
      <c r="F426" s="4"/>
      <c r="G426" s="1"/>
      <c r="H426" s="1"/>
      <c r="I426" s="70"/>
      <c r="J426" s="3"/>
      <c r="K426" s="73"/>
    </row>
    <row x14ac:dyDescent="0.25" r="427" customHeight="1" ht="18.75">
      <c r="A427" s="3" t="s">
        <v>1051</v>
      </c>
      <c r="B427" s="1"/>
      <c r="C427" s="1"/>
      <c r="D427" s="4"/>
      <c r="E427" s="4"/>
      <c r="F427" s="4"/>
      <c r="G427" s="1"/>
      <c r="H427" s="1"/>
      <c r="I427" s="70"/>
      <c r="J427" s="3"/>
      <c r="K427" s="73"/>
    </row>
    <row x14ac:dyDescent="0.25" r="428" customHeight="1" ht="18.75">
      <c r="A428" s="3" t="s">
        <v>1051</v>
      </c>
      <c r="B428" s="1"/>
      <c r="C428" s="1"/>
      <c r="D428" s="4"/>
      <c r="E428" s="4"/>
      <c r="F428" s="4"/>
      <c r="G428" s="1"/>
      <c r="H428" s="1"/>
      <c r="I428" s="70"/>
      <c r="J428" s="3"/>
      <c r="K428" s="73"/>
    </row>
    <row x14ac:dyDescent="0.25" r="429" customHeight="1" ht="18.75">
      <c r="A429" s="3" t="s">
        <v>1051</v>
      </c>
      <c r="B429" s="1"/>
      <c r="C429" s="1"/>
      <c r="D429" s="4"/>
      <c r="E429" s="4"/>
      <c r="F429" s="4"/>
      <c r="G429" s="1"/>
      <c r="H429" s="1"/>
      <c r="I429" s="70"/>
      <c r="J429" s="3"/>
      <c r="K429" s="73"/>
    </row>
    <row x14ac:dyDescent="0.25" r="430" customHeight="1" ht="18.75">
      <c r="A430" s="3" t="s">
        <v>1051</v>
      </c>
      <c r="B430" s="1"/>
      <c r="C430" s="1"/>
      <c r="D430" s="4"/>
      <c r="E430" s="4"/>
      <c r="F430" s="4"/>
      <c r="G430" s="1"/>
      <c r="H430" s="1"/>
      <c r="I430" s="70"/>
      <c r="J430" s="3"/>
      <c r="K430" s="73"/>
    </row>
    <row x14ac:dyDescent="0.25" r="431" customHeight="1" ht="18.75">
      <c r="A431" s="3" t="s">
        <v>1051</v>
      </c>
      <c r="B431" s="1"/>
      <c r="C431" s="1"/>
      <c r="D431" s="4"/>
      <c r="E431" s="4"/>
      <c r="F431" s="4"/>
      <c r="G431" s="1"/>
      <c r="H431" s="1"/>
      <c r="I431" s="70"/>
      <c r="J431" s="3"/>
      <c r="K431" s="73"/>
    </row>
    <row x14ac:dyDescent="0.25" r="432" customHeight="1" ht="18.75">
      <c r="A432" s="3" t="s">
        <v>1051</v>
      </c>
      <c r="B432" s="1"/>
      <c r="C432" s="1"/>
      <c r="D432" s="4"/>
      <c r="E432" s="4"/>
      <c r="F432" s="4"/>
      <c r="G432" s="1"/>
      <c r="H432" s="1"/>
      <c r="I432" s="70"/>
      <c r="J432" s="3"/>
      <c r="K432" s="73"/>
    </row>
    <row x14ac:dyDescent="0.25" r="433" customHeight="1" ht="18.75">
      <c r="A433" s="3" t="s">
        <v>1051</v>
      </c>
      <c r="B433" s="1"/>
      <c r="C433" s="1"/>
      <c r="D433" s="4"/>
      <c r="E433" s="4"/>
      <c r="F433" s="4"/>
      <c r="G433" s="1"/>
      <c r="H433" s="1"/>
      <c r="I433" s="70"/>
      <c r="J433" s="3"/>
      <c r="K433" s="73"/>
    </row>
    <row x14ac:dyDescent="0.25" r="434" customHeight="1" ht="18.75">
      <c r="A434" s="3" t="s">
        <v>1051</v>
      </c>
      <c r="B434" s="1"/>
      <c r="C434" s="1"/>
      <c r="D434" s="4"/>
      <c r="E434" s="4"/>
      <c r="F434" s="4"/>
      <c r="G434" s="1"/>
      <c r="H434" s="1"/>
      <c r="I434" s="70"/>
      <c r="J434" s="3"/>
      <c r="K434" s="73"/>
    </row>
    <row x14ac:dyDescent="0.25" r="435" customHeight="1" ht="18.75">
      <c r="A435" s="3" t="s">
        <v>1051</v>
      </c>
      <c r="B435" s="1"/>
      <c r="C435" s="1"/>
      <c r="D435" s="4"/>
      <c r="E435" s="4"/>
      <c r="F435" s="4"/>
      <c r="G435" s="1"/>
      <c r="H435" s="1"/>
      <c r="I435" s="70"/>
      <c r="J435" s="3"/>
      <c r="K435" s="73"/>
    </row>
    <row x14ac:dyDescent="0.25" r="436" customHeight="1" ht="18.75">
      <c r="A436" s="3" t="s">
        <v>1051</v>
      </c>
      <c r="B436" s="1"/>
      <c r="C436" s="1"/>
      <c r="D436" s="4"/>
      <c r="E436" s="4"/>
      <c r="F436" s="4"/>
      <c r="G436" s="1"/>
      <c r="H436" s="1"/>
      <c r="I436" s="70"/>
      <c r="J436" s="3"/>
      <c r="K436" s="73"/>
    </row>
    <row x14ac:dyDescent="0.25" r="437" customHeight="1" ht="18.75">
      <c r="A437" s="3" t="s">
        <v>1051</v>
      </c>
      <c r="B437" s="1"/>
      <c r="C437" s="1"/>
      <c r="D437" s="4"/>
      <c r="E437" s="4"/>
      <c r="F437" s="4"/>
      <c r="G437" s="1"/>
      <c r="H437" s="1"/>
      <c r="I437" s="70"/>
      <c r="J437" s="3"/>
      <c r="K437" s="73"/>
    </row>
    <row x14ac:dyDescent="0.25" r="438" customHeight="1" ht="18.75">
      <c r="A438" s="3" t="s">
        <v>1051</v>
      </c>
      <c r="B438" s="1"/>
      <c r="C438" s="1"/>
      <c r="D438" s="4"/>
      <c r="E438" s="4"/>
      <c r="F438" s="4"/>
      <c r="G438" s="1"/>
      <c r="H438" s="1"/>
      <c r="I438" s="70"/>
      <c r="J438" s="3"/>
      <c r="K438" s="73"/>
    </row>
    <row x14ac:dyDescent="0.25" r="439" customHeight="1" ht="18.75">
      <c r="A439" s="3"/>
      <c r="B439" s="1"/>
      <c r="C439" s="1"/>
      <c r="D439" s="4"/>
      <c r="E439" s="4"/>
      <c r="F439" s="4"/>
      <c r="G439" s="1"/>
      <c r="H439" s="1"/>
      <c r="I439" s="70"/>
      <c r="J439" s="3"/>
      <c r="K439" s="73"/>
    </row>
    <row x14ac:dyDescent="0.25" r="440" customHeight="1" ht="18.75">
      <c r="A440" s="3" t="s">
        <v>1051</v>
      </c>
      <c r="B440" s="1"/>
      <c r="C440" s="1"/>
      <c r="D440" s="4"/>
      <c r="E440" s="4"/>
      <c r="F440" s="4"/>
      <c r="G440" s="1"/>
      <c r="H440" s="1"/>
      <c r="I440" s="70"/>
      <c r="J440" s="3"/>
      <c r="K440" s="73"/>
    </row>
    <row x14ac:dyDescent="0.25" r="441" customHeight="1" ht="18.75">
      <c r="A441" s="3" t="s">
        <v>1051</v>
      </c>
      <c r="B441" s="1"/>
      <c r="C441" s="1"/>
      <c r="D441" s="4"/>
      <c r="E441" s="4"/>
      <c r="F441" s="4"/>
      <c r="G441" s="1"/>
      <c r="H441" s="1"/>
      <c r="I441" s="70"/>
      <c r="J441" s="3"/>
      <c r="K441" s="73"/>
    </row>
    <row x14ac:dyDescent="0.25" r="442" customHeight="1" ht="18.75">
      <c r="A442" s="3"/>
      <c r="B442" s="1"/>
      <c r="C442" s="1"/>
      <c r="D442" s="4"/>
      <c r="E442" s="4"/>
      <c r="F442" s="4"/>
      <c r="G442" s="1"/>
      <c r="H442" s="1"/>
      <c r="I442" s="70"/>
      <c r="J442" s="3"/>
      <c r="K442" s="73"/>
    </row>
    <row x14ac:dyDescent="0.25" r="443" customHeight="1" ht="18.75">
      <c r="A443" s="3" t="s">
        <v>1051</v>
      </c>
      <c r="B443" s="1"/>
      <c r="C443" s="1"/>
      <c r="D443" s="4"/>
      <c r="E443" s="4"/>
      <c r="F443" s="4"/>
      <c r="G443" s="1"/>
      <c r="H443" s="1"/>
      <c r="I443" s="70"/>
      <c r="J443" s="3"/>
      <c r="K443" s="73"/>
    </row>
    <row x14ac:dyDescent="0.25" r="444" customHeight="1" ht="18.75">
      <c r="A444" s="3" t="s">
        <v>1051</v>
      </c>
      <c r="B444" s="1"/>
      <c r="C444" s="1"/>
      <c r="D444" s="4"/>
      <c r="E444" s="4"/>
      <c r="F444" s="4"/>
      <c r="G444" s="1"/>
      <c r="H444" s="1"/>
      <c r="I444" s="70"/>
      <c r="J444" s="3"/>
      <c r="K444" s="73"/>
    </row>
    <row x14ac:dyDescent="0.25" r="445" customHeight="1" ht="18.75">
      <c r="A445" s="3" t="s">
        <v>1051</v>
      </c>
      <c r="B445" s="1"/>
      <c r="C445" s="1"/>
      <c r="D445" s="4"/>
      <c r="E445" s="4"/>
      <c r="F445" s="4"/>
      <c r="G445" s="1"/>
      <c r="H445" s="1"/>
      <c r="I445" s="70"/>
      <c r="J445" s="3"/>
      <c r="K445" s="73"/>
    </row>
    <row x14ac:dyDescent="0.25" r="446" customHeight="1" ht="18.75">
      <c r="A446" s="3" t="s">
        <v>1051</v>
      </c>
      <c r="B446" s="1"/>
      <c r="C446" s="1"/>
      <c r="D446" s="4"/>
      <c r="E446" s="4"/>
      <c r="F446" s="4"/>
      <c r="G446" s="1"/>
      <c r="H446" s="1"/>
      <c r="I446" s="70"/>
      <c r="J446" s="3"/>
      <c r="K446" s="73"/>
    </row>
    <row x14ac:dyDescent="0.25" r="447" customHeight="1" ht="18.75">
      <c r="A447" s="3" t="s">
        <v>1051</v>
      </c>
      <c r="B447" s="1"/>
      <c r="C447" s="1"/>
      <c r="D447" s="4"/>
      <c r="E447" s="4"/>
      <c r="F447" s="4"/>
      <c r="G447" s="1"/>
      <c r="H447" s="1"/>
      <c r="I447" s="70"/>
      <c r="J447" s="3"/>
      <c r="K447" s="73"/>
    </row>
    <row x14ac:dyDescent="0.25" r="448" customHeight="1" ht="18.75">
      <c r="A448" s="3" t="s">
        <v>1051</v>
      </c>
      <c r="B448" s="1"/>
      <c r="C448" s="1"/>
      <c r="D448" s="4"/>
      <c r="E448" s="4"/>
      <c r="F448" s="4"/>
      <c r="G448" s="1"/>
      <c r="H448" s="1"/>
      <c r="I448" s="70"/>
      <c r="J448" s="3"/>
      <c r="K448" s="73"/>
    </row>
    <row x14ac:dyDescent="0.25" r="449" customHeight="1" ht="18.75">
      <c r="A449" s="3" t="s">
        <v>1051</v>
      </c>
      <c r="B449" s="1"/>
      <c r="C449" s="1"/>
      <c r="D449" s="4"/>
      <c r="E449" s="4"/>
      <c r="F449" s="4"/>
      <c r="G449" s="1"/>
      <c r="H449" s="1"/>
      <c r="I449" s="70"/>
      <c r="J449" s="3"/>
      <c r="K449" s="73"/>
    </row>
    <row x14ac:dyDescent="0.25" r="450" customHeight="1" ht="18.75">
      <c r="A450" s="3" t="s">
        <v>1051</v>
      </c>
      <c r="B450" s="1"/>
      <c r="C450" s="1"/>
      <c r="D450" s="4"/>
      <c r="E450" s="4"/>
      <c r="F450" s="4"/>
      <c r="G450" s="1"/>
      <c r="H450" s="1"/>
      <c r="I450" s="70"/>
      <c r="J450" s="3"/>
      <c r="K450" s="73"/>
    </row>
    <row x14ac:dyDescent="0.25" r="451" customHeight="1" ht="18.75">
      <c r="A451" s="3" t="s">
        <v>1051</v>
      </c>
      <c r="B451" s="1"/>
      <c r="C451" s="1"/>
      <c r="D451" s="4"/>
      <c r="E451" s="4"/>
      <c r="F451" s="4"/>
      <c r="G451" s="1"/>
      <c r="H451" s="1"/>
      <c r="I451" s="70"/>
      <c r="J451" s="3"/>
      <c r="K451" s="73"/>
    </row>
    <row x14ac:dyDescent="0.25" r="452" customHeight="1" ht="18.75">
      <c r="A452" s="3" t="s">
        <v>1051</v>
      </c>
      <c r="B452" s="1"/>
      <c r="C452" s="1"/>
      <c r="D452" s="4"/>
      <c r="E452" s="4"/>
      <c r="F452" s="4"/>
      <c r="G452" s="1"/>
      <c r="H452" s="1"/>
      <c r="I452" s="70"/>
      <c r="J452" s="3"/>
      <c r="K452" s="73"/>
    </row>
    <row x14ac:dyDescent="0.25" r="453" customHeight="1" ht="18.75">
      <c r="A453" s="3" t="s">
        <v>1051</v>
      </c>
      <c r="B453" s="1"/>
      <c r="C453" s="1"/>
      <c r="D453" s="4"/>
      <c r="E453" s="4"/>
      <c r="F453" s="4"/>
      <c r="G453" s="1"/>
      <c r="H453" s="1"/>
      <c r="I453" s="70"/>
      <c r="J453" s="3"/>
      <c r="K453" s="73"/>
    </row>
    <row x14ac:dyDescent="0.25" r="454" customHeight="1" ht="18.75">
      <c r="A454" s="3" t="s">
        <v>1051</v>
      </c>
      <c r="B454" s="1"/>
      <c r="C454" s="1"/>
      <c r="D454" s="4"/>
      <c r="E454" s="4"/>
      <c r="F454" s="4"/>
      <c r="G454" s="1"/>
      <c r="H454" s="1"/>
      <c r="I454" s="70"/>
      <c r="J454" s="3"/>
      <c r="K454" s="73"/>
    </row>
    <row x14ac:dyDescent="0.25" r="455" customHeight="1" ht="18.75">
      <c r="A455" s="3" t="s">
        <v>1051</v>
      </c>
      <c r="B455" s="1"/>
      <c r="C455" s="1"/>
      <c r="D455" s="4"/>
      <c r="E455" s="4"/>
      <c r="F455" s="4"/>
      <c r="G455" s="1"/>
      <c r="H455" s="1"/>
      <c r="I455" s="70"/>
      <c r="J455" s="3"/>
      <c r="K455" s="73"/>
    </row>
    <row x14ac:dyDescent="0.25" r="456" customHeight="1" ht="18.75">
      <c r="A456" s="3" t="s">
        <v>1051</v>
      </c>
      <c r="B456" s="1"/>
      <c r="C456" s="1"/>
      <c r="D456" s="4"/>
      <c r="E456" s="4"/>
      <c r="F456" s="4"/>
      <c r="G456" s="1"/>
      <c r="H456" s="1"/>
      <c r="I456" s="70"/>
      <c r="J456" s="3"/>
      <c r="K456" s="73"/>
    </row>
    <row x14ac:dyDescent="0.25" r="457" customHeight="1" ht="18.75">
      <c r="A457" s="3" t="s">
        <v>1051</v>
      </c>
      <c r="B457" s="1"/>
      <c r="C457" s="1"/>
      <c r="D457" s="4"/>
      <c r="E457" s="4"/>
      <c r="F457" s="4"/>
      <c r="G457" s="1"/>
      <c r="H457" s="1"/>
      <c r="I457" s="70"/>
      <c r="J457" s="3"/>
      <c r="K457" s="73"/>
    </row>
    <row x14ac:dyDescent="0.25" r="458" customHeight="1" ht="18.75">
      <c r="A458" s="3" t="s">
        <v>1051</v>
      </c>
      <c r="B458" s="1"/>
      <c r="C458" s="1"/>
      <c r="D458" s="4"/>
      <c r="E458" s="4"/>
      <c r="F458" s="4"/>
      <c r="G458" s="1"/>
      <c r="H458" s="1"/>
      <c r="I458" s="70"/>
      <c r="J458" s="3"/>
      <c r="K458" s="73"/>
    </row>
    <row x14ac:dyDescent="0.25" r="459" customHeight="1" ht="18.75">
      <c r="A459" s="3" t="s">
        <v>1051</v>
      </c>
      <c r="B459" s="1"/>
      <c r="C459" s="1"/>
      <c r="D459" s="4"/>
      <c r="E459" s="4"/>
      <c r="F459" s="4"/>
      <c r="G459" s="1"/>
      <c r="H459" s="1"/>
      <c r="I459" s="70"/>
      <c r="J459" s="3"/>
      <c r="K459" s="73"/>
    </row>
    <row x14ac:dyDescent="0.25" r="460" customHeight="1" ht="18.75">
      <c r="A460" s="3" t="s">
        <v>1051</v>
      </c>
      <c r="B460" s="1"/>
      <c r="C460" s="1"/>
      <c r="D460" s="4"/>
      <c r="E460" s="4"/>
      <c r="F460" s="4"/>
      <c r="G460" s="1"/>
      <c r="H460" s="1"/>
      <c r="I460" s="70"/>
      <c r="J460" s="3"/>
      <c r="K460" s="73"/>
    </row>
    <row x14ac:dyDescent="0.25" r="461" customHeight="1" ht="18.75">
      <c r="A461" s="3"/>
      <c r="B461" s="1"/>
      <c r="C461" s="1"/>
      <c r="D461" s="4"/>
      <c r="E461" s="4"/>
      <c r="F461" s="4"/>
      <c r="G461" s="1"/>
      <c r="H461" s="1"/>
      <c r="I461" s="70"/>
      <c r="J461" s="3"/>
      <c r="K461" s="73"/>
    </row>
    <row x14ac:dyDescent="0.25" r="462" customHeight="1" ht="18.75">
      <c r="A462" s="3" t="s">
        <v>1051</v>
      </c>
      <c r="B462" s="1"/>
      <c r="C462" s="1"/>
      <c r="D462" s="4"/>
      <c r="E462" s="4"/>
      <c r="F462" s="4"/>
      <c r="G462" s="1"/>
      <c r="H462" s="1"/>
      <c r="I462" s="70"/>
      <c r="J462" s="3"/>
      <c r="K462" s="73"/>
    </row>
    <row x14ac:dyDescent="0.25" r="463" customHeight="1" ht="18.75">
      <c r="A463" s="3" t="s">
        <v>1051</v>
      </c>
      <c r="B463" s="1"/>
      <c r="C463" s="1"/>
      <c r="D463" s="4"/>
      <c r="E463" s="4"/>
      <c r="F463" s="4"/>
      <c r="G463" s="1"/>
      <c r="H463" s="1"/>
      <c r="I463" s="70"/>
      <c r="J463" s="3"/>
      <c r="K463" s="73"/>
    </row>
    <row x14ac:dyDescent="0.25" r="464" customHeight="1" ht="18.75">
      <c r="A464" s="3"/>
      <c r="B464" s="1"/>
      <c r="C464" s="1"/>
      <c r="D464" s="4"/>
      <c r="E464" s="4"/>
      <c r="F464" s="4"/>
      <c r="G464" s="1"/>
      <c r="H464" s="1"/>
      <c r="I464" s="70"/>
      <c r="J464" s="3"/>
      <c r="K464" s="73"/>
    </row>
    <row x14ac:dyDescent="0.25" r="465" customHeight="1" ht="18.75">
      <c r="A465" s="3" t="s">
        <v>1051</v>
      </c>
      <c r="B465" s="1"/>
      <c r="C465" s="1"/>
      <c r="D465" s="4"/>
      <c r="E465" s="4"/>
      <c r="F465" s="4"/>
      <c r="G465" s="1"/>
      <c r="H465" s="1"/>
      <c r="I465" s="70"/>
      <c r="J465" s="3"/>
      <c r="K465" s="73"/>
    </row>
    <row x14ac:dyDescent="0.25" r="466" customHeight="1" ht="18.75">
      <c r="A466" s="3" t="s">
        <v>1051</v>
      </c>
      <c r="B466" s="1"/>
      <c r="C466" s="1"/>
      <c r="D466" s="4"/>
      <c r="E466" s="4"/>
      <c r="F466" s="4"/>
      <c r="G466" s="1"/>
      <c r="H466" s="1"/>
      <c r="I466" s="70"/>
      <c r="J466" s="3"/>
      <c r="K466" s="73"/>
    </row>
    <row x14ac:dyDescent="0.25" r="467" customHeight="1" ht="18.75">
      <c r="A467" s="3" t="s">
        <v>1051</v>
      </c>
      <c r="B467" s="1"/>
      <c r="C467" s="1"/>
      <c r="D467" s="4"/>
      <c r="E467" s="4"/>
      <c r="F467" s="4"/>
      <c r="G467" s="1"/>
      <c r="H467" s="1"/>
      <c r="I467" s="70"/>
      <c r="J467" s="3"/>
      <c r="K467" s="73"/>
    </row>
    <row x14ac:dyDescent="0.25" r="468" customHeight="1" ht="18.75">
      <c r="A468" s="3"/>
      <c r="B468" s="1"/>
      <c r="C468" s="1"/>
      <c r="D468" s="4"/>
      <c r="E468" s="4"/>
      <c r="F468" s="4"/>
      <c r="G468" s="1"/>
      <c r="H468" s="1"/>
      <c r="I468" s="70"/>
      <c r="J468" s="3"/>
      <c r="K468" s="73"/>
    </row>
    <row x14ac:dyDescent="0.25" r="469" customHeight="1" ht="18.75">
      <c r="A469" s="3" t="s">
        <v>1051</v>
      </c>
      <c r="B469" s="1"/>
      <c r="C469" s="1"/>
      <c r="D469" s="4"/>
      <c r="E469" s="4"/>
      <c r="F469" s="4"/>
      <c r="G469" s="1"/>
      <c r="H469" s="1"/>
      <c r="I469" s="70"/>
      <c r="J469" s="3"/>
      <c r="K469" s="73"/>
    </row>
    <row x14ac:dyDescent="0.25" r="470" customHeight="1" ht="18.75">
      <c r="A470" s="3" t="s">
        <v>1051</v>
      </c>
      <c r="B470" s="1"/>
      <c r="C470" s="1"/>
      <c r="D470" s="4"/>
      <c r="E470" s="4"/>
      <c r="F470" s="4"/>
      <c r="G470" s="1"/>
      <c r="H470" s="1"/>
      <c r="I470" s="70"/>
      <c r="J470" s="3"/>
      <c r="K470" s="73"/>
    </row>
    <row x14ac:dyDescent="0.25" r="471" customHeight="1" ht="18.75">
      <c r="A471" s="3" t="s">
        <v>1051</v>
      </c>
      <c r="B471" s="1"/>
      <c r="C471" s="1"/>
      <c r="D471" s="4"/>
      <c r="E471" s="4"/>
      <c r="F471" s="4"/>
      <c r="G471" s="1"/>
      <c r="H471" s="1"/>
      <c r="I471" s="70"/>
      <c r="J471" s="3"/>
      <c r="K471" s="73"/>
    </row>
    <row x14ac:dyDescent="0.25" r="472" customHeight="1" ht="18.75">
      <c r="A472" s="3" t="s">
        <v>1051</v>
      </c>
      <c r="B472" s="1"/>
      <c r="C472" s="1"/>
      <c r="D472" s="4"/>
      <c r="E472" s="4"/>
      <c r="F472" s="4"/>
      <c r="G472" s="1"/>
      <c r="H472" s="1"/>
      <c r="I472" s="70"/>
      <c r="J472" s="3"/>
      <c r="K472" s="73"/>
    </row>
    <row x14ac:dyDescent="0.25" r="473" customHeight="1" ht="18.75">
      <c r="A473" s="3" t="s">
        <v>1051</v>
      </c>
      <c r="B473" s="1"/>
      <c r="C473" s="1"/>
      <c r="D473" s="4"/>
      <c r="E473" s="4"/>
      <c r="F473" s="4"/>
      <c r="G473" s="1"/>
      <c r="H473" s="1"/>
      <c r="I473" s="70"/>
      <c r="J473" s="3"/>
      <c r="K473" s="73"/>
    </row>
    <row x14ac:dyDescent="0.25" r="474" customHeight="1" ht="18.75">
      <c r="A474" s="3" t="s">
        <v>1051</v>
      </c>
      <c r="B474" s="1"/>
      <c r="C474" s="1"/>
      <c r="D474" s="4"/>
      <c r="E474" s="4"/>
      <c r="F474" s="4"/>
      <c r="G474" s="1"/>
      <c r="H474" s="1"/>
      <c r="I474" s="70"/>
      <c r="J474" s="3"/>
      <c r="K474" s="73"/>
    </row>
    <row x14ac:dyDescent="0.25" r="475" customHeight="1" ht="18.75">
      <c r="A475" s="3" t="s">
        <v>1051</v>
      </c>
      <c r="B475" s="1"/>
      <c r="C475" s="1"/>
      <c r="D475" s="4"/>
      <c r="E475" s="4"/>
      <c r="F475" s="4"/>
      <c r="G475" s="1"/>
      <c r="H475" s="1"/>
      <c r="I475" s="70"/>
      <c r="J475" s="3"/>
      <c r="K475" s="73"/>
    </row>
    <row x14ac:dyDescent="0.25" r="476" customHeight="1" ht="18.75">
      <c r="A476" s="3" t="s">
        <v>1051</v>
      </c>
      <c r="B476" s="1"/>
      <c r="C476" s="1"/>
      <c r="D476" s="4"/>
      <c r="E476" s="4"/>
      <c r="F476" s="4"/>
      <c r="G476" s="1"/>
      <c r="H476" s="1"/>
      <c r="I476" s="70"/>
      <c r="J476" s="3"/>
      <c r="K476" s="73"/>
    </row>
    <row x14ac:dyDescent="0.25" r="477" customHeight="1" ht="18.75">
      <c r="A477" s="3" t="s">
        <v>1051</v>
      </c>
      <c r="B477" s="1"/>
      <c r="C477" s="1"/>
      <c r="D477" s="4"/>
      <c r="E477" s="4"/>
      <c r="F477" s="4"/>
      <c r="G477" s="1"/>
      <c r="H477" s="1"/>
      <c r="I477" s="70"/>
      <c r="J477" s="3"/>
      <c r="K477" s="73"/>
    </row>
    <row x14ac:dyDescent="0.25" r="478" customHeight="1" ht="18.75">
      <c r="A478" s="3" t="s">
        <v>1051</v>
      </c>
      <c r="B478" s="1"/>
      <c r="C478" s="1"/>
      <c r="D478" s="4"/>
      <c r="E478" s="4"/>
      <c r="F478" s="4"/>
      <c r="G478" s="1"/>
      <c r="H478" s="1"/>
      <c r="I478" s="70"/>
      <c r="J478" s="3"/>
      <c r="K478" s="73"/>
    </row>
    <row x14ac:dyDescent="0.25" r="479" customHeight="1" ht="18.75">
      <c r="A479" s="3" t="s">
        <v>1051</v>
      </c>
      <c r="B479" s="1"/>
      <c r="C479" s="1"/>
      <c r="D479" s="4"/>
      <c r="E479" s="4"/>
      <c r="F479" s="4"/>
      <c r="G479" s="1"/>
      <c r="H479" s="1"/>
      <c r="I479" s="70"/>
      <c r="J479" s="3"/>
      <c r="K479" s="73"/>
    </row>
    <row x14ac:dyDescent="0.25" r="480" customHeight="1" ht="18.75">
      <c r="A480" s="3"/>
      <c r="B480" s="1"/>
      <c r="C480" s="1"/>
      <c r="D480" s="4"/>
      <c r="E480" s="4"/>
      <c r="F480" s="4"/>
      <c r="G480" s="1"/>
      <c r="H480" s="1"/>
      <c r="I480" s="70"/>
      <c r="J480" s="3"/>
      <c r="K480" s="73"/>
    </row>
    <row x14ac:dyDescent="0.25" r="481" customHeight="1" ht="18.75">
      <c r="A481" s="3" t="s">
        <v>1051</v>
      </c>
      <c r="B481" s="1"/>
      <c r="C481" s="1"/>
      <c r="D481" s="4"/>
      <c r="E481" s="4"/>
      <c r="F481" s="4"/>
      <c r="G481" s="1"/>
      <c r="H481" s="1"/>
      <c r="I481" s="70"/>
      <c r="J481" s="3"/>
      <c r="K481" s="73"/>
    </row>
    <row x14ac:dyDescent="0.25" r="482" customHeight="1" ht="18.75">
      <c r="A482" s="3" t="s">
        <v>1051</v>
      </c>
      <c r="B482" s="1"/>
      <c r="C482" s="1"/>
      <c r="D482" s="4"/>
      <c r="E482" s="4"/>
      <c r="F482" s="4"/>
      <c r="G482" s="1"/>
      <c r="H482" s="1"/>
      <c r="I482" s="70"/>
      <c r="J482" s="3"/>
      <c r="K482" s="73"/>
    </row>
    <row x14ac:dyDescent="0.25" r="483" customHeight="1" ht="18.75">
      <c r="A483" s="3" t="s">
        <v>1051</v>
      </c>
      <c r="B483" s="1"/>
      <c r="C483" s="1"/>
      <c r="D483" s="4"/>
      <c r="E483" s="4"/>
      <c r="F483" s="4"/>
      <c r="G483" s="1"/>
      <c r="H483" s="1"/>
      <c r="I483" s="70"/>
      <c r="J483" s="3"/>
      <c r="K483" s="73"/>
    </row>
    <row x14ac:dyDescent="0.25" r="484" customHeight="1" ht="18.75">
      <c r="A484" s="3" t="s">
        <v>1051</v>
      </c>
      <c r="B484" s="1"/>
      <c r="C484" s="1"/>
      <c r="D484" s="4"/>
      <c r="E484" s="4"/>
      <c r="F484" s="4"/>
      <c r="G484" s="1"/>
      <c r="H484" s="1"/>
      <c r="I484" s="70"/>
      <c r="J484" s="3"/>
      <c r="K484" s="73"/>
    </row>
    <row x14ac:dyDescent="0.25" r="485" customHeight="1" ht="18.75">
      <c r="A485" s="3" t="s">
        <v>1051</v>
      </c>
      <c r="B485" s="1"/>
      <c r="C485" s="1"/>
      <c r="D485" s="4"/>
      <c r="E485" s="4"/>
      <c r="F485" s="4"/>
      <c r="G485" s="1"/>
      <c r="H485" s="1"/>
      <c r="I485" s="70"/>
      <c r="J485" s="3"/>
      <c r="K485" s="73"/>
    </row>
    <row x14ac:dyDescent="0.25" r="486" customHeight="1" ht="18.75">
      <c r="A486" s="3" t="s">
        <v>1051</v>
      </c>
      <c r="B486" s="1"/>
      <c r="C486" s="1"/>
      <c r="D486" s="4"/>
      <c r="E486" s="4"/>
      <c r="F486" s="4"/>
      <c r="G486" s="1"/>
      <c r="H486" s="1"/>
      <c r="I486" s="70"/>
      <c r="J486" s="3"/>
      <c r="K486" s="73"/>
    </row>
    <row x14ac:dyDescent="0.25" r="487" customHeight="1" ht="18.75">
      <c r="A487" s="3" t="s">
        <v>1051</v>
      </c>
      <c r="B487" s="1"/>
      <c r="C487" s="1"/>
      <c r="D487" s="4"/>
      <c r="E487" s="4"/>
      <c r="F487" s="4"/>
      <c r="G487" s="1"/>
      <c r="H487" s="1"/>
      <c r="I487" s="70"/>
      <c r="J487" s="3"/>
      <c r="K487" s="73"/>
    </row>
    <row x14ac:dyDescent="0.25" r="488" customHeight="1" ht="18.75">
      <c r="A488" s="3" t="s">
        <v>1051</v>
      </c>
      <c r="B488" s="1"/>
      <c r="C488" s="1"/>
      <c r="D488" s="4"/>
      <c r="E488" s="4"/>
      <c r="F488" s="4"/>
      <c r="G488" s="1"/>
      <c r="H488" s="1"/>
      <c r="I488" s="70"/>
      <c r="J488" s="3"/>
      <c r="K488" s="73"/>
    </row>
    <row x14ac:dyDescent="0.25" r="489" customHeight="1" ht="18.75">
      <c r="A489" s="3" t="s">
        <v>1051</v>
      </c>
      <c r="B489" s="1"/>
      <c r="C489" s="1"/>
      <c r="D489" s="4"/>
      <c r="E489" s="4"/>
      <c r="F489" s="4"/>
      <c r="G489" s="1"/>
      <c r="H489" s="1"/>
      <c r="I489" s="70"/>
      <c r="J489" s="3"/>
      <c r="K489" s="73"/>
    </row>
    <row x14ac:dyDescent="0.25" r="490" customHeight="1" ht="18.75">
      <c r="A490" s="3" t="s">
        <v>1051</v>
      </c>
      <c r="B490" s="1"/>
      <c r="C490" s="1"/>
      <c r="D490" s="4"/>
      <c r="E490" s="4"/>
      <c r="F490" s="4"/>
      <c r="G490" s="1"/>
      <c r="H490" s="1"/>
      <c r="I490" s="70"/>
      <c r="J490" s="3"/>
      <c r="K490" s="73"/>
    </row>
    <row x14ac:dyDescent="0.25" r="491" customHeight="1" ht="18.75">
      <c r="A491" s="3" t="s">
        <v>1051</v>
      </c>
      <c r="B491" s="1"/>
      <c r="C491" s="1"/>
      <c r="D491" s="4"/>
      <c r="E491" s="4"/>
      <c r="F491" s="4"/>
      <c r="G491" s="1"/>
      <c r="H491" s="1"/>
      <c r="I491" s="70"/>
      <c r="J491" s="3"/>
      <c r="K491" s="73"/>
    </row>
    <row x14ac:dyDescent="0.25" r="492" customHeight="1" ht="18.75">
      <c r="A492" s="3"/>
      <c r="B492" s="1"/>
      <c r="C492" s="1"/>
      <c r="D492" s="4"/>
      <c r="E492" s="4"/>
      <c r="F492" s="4"/>
      <c r="G492" s="1"/>
      <c r="H492" s="1"/>
      <c r="I492" s="70"/>
      <c r="J492" s="3"/>
      <c r="K492" s="73"/>
    </row>
    <row x14ac:dyDescent="0.25" r="493" customHeight="1" ht="18.75">
      <c r="A493" s="3" t="s">
        <v>1051</v>
      </c>
      <c r="B493" s="1"/>
      <c r="C493" s="1"/>
      <c r="D493" s="4"/>
      <c r="E493" s="4"/>
      <c r="F493" s="4"/>
      <c r="G493" s="1"/>
      <c r="H493" s="1"/>
      <c r="I493" s="70"/>
      <c r="J493" s="3"/>
      <c r="K493" s="73"/>
    </row>
    <row x14ac:dyDescent="0.25" r="494" customHeight="1" ht="18.75">
      <c r="A494" s="3" t="s">
        <v>1051</v>
      </c>
      <c r="B494" s="1"/>
      <c r="C494" s="1"/>
      <c r="D494" s="4"/>
      <c r="E494" s="4"/>
      <c r="F494" s="4"/>
      <c r="G494" s="1"/>
      <c r="H494" s="1"/>
      <c r="I494" s="70"/>
      <c r="J494" s="3"/>
      <c r="K494" s="73"/>
    </row>
    <row x14ac:dyDescent="0.25" r="495" customHeight="1" ht="18.75">
      <c r="A495" s="3" t="s">
        <v>1051</v>
      </c>
      <c r="B495" s="1"/>
      <c r="C495" s="1"/>
      <c r="D495" s="4"/>
      <c r="E495" s="4"/>
      <c r="F495" s="4"/>
      <c r="G495" s="1"/>
      <c r="H495" s="1"/>
      <c r="I495" s="70"/>
      <c r="J495" s="3"/>
      <c r="K495" s="73"/>
    </row>
    <row x14ac:dyDescent="0.25" r="496" customHeight="1" ht="18.75">
      <c r="A496" s="3" t="s">
        <v>1051</v>
      </c>
      <c r="B496" s="1"/>
      <c r="C496" s="1"/>
      <c r="D496" s="4"/>
      <c r="E496" s="4"/>
      <c r="F496" s="4"/>
      <c r="G496" s="1"/>
      <c r="H496" s="1"/>
      <c r="I496" s="70"/>
      <c r="J496" s="3"/>
      <c r="K496" s="73"/>
    </row>
    <row x14ac:dyDescent="0.25" r="497" customHeight="1" ht="18.75">
      <c r="A497" s="3" t="s">
        <v>1051</v>
      </c>
      <c r="B497" s="1"/>
      <c r="C497" s="1"/>
      <c r="D497" s="4"/>
      <c r="E497" s="4"/>
      <c r="F497" s="4"/>
      <c r="G497" s="1"/>
      <c r="H497" s="1"/>
      <c r="I497" s="70"/>
      <c r="J497" s="3"/>
      <c r="K497" s="73"/>
    </row>
    <row x14ac:dyDescent="0.25" r="498" customHeight="1" ht="18.75">
      <c r="A498" s="3" t="s">
        <v>1051</v>
      </c>
      <c r="B498" s="1"/>
      <c r="C498" s="1"/>
      <c r="D498" s="4"/>
      <c r="E498" s="4"/>
      <c r="F498" s="4"/>
      <c r="G498" s="1"/>
      <c r="H498" s="1"/>
      <c r="I498" s="70"/>
      <c r="J498" s="3"/>
      <c r="K498" s="73"/>
    </row>
    <row x14ac:dyDescent="0.25" r="499" customHeight="1" ht="18.75">
      <c r="A499" s="3" t="s">
        <v>1051</v>
      </c>
      <c r="B499" s="1"/>
      <c r="C499" s="1"/>
      <c r="D499" s="4"/>
      <c r="E499" s="4"/>
      <c r="F499" s="4"/>
      <c r="G499" s="1"/>
      <c r="H499" s="1"/>
      <c r="I499" s="70"/>
      <c r="J499" s="3"/>
      <c r="K499" s="73"/>
    </row>
    <row x14ac:dyDescent="0.25" r="500" customHeight="1" ht="18.75">
      <c r="A500" s="3" t="s">
        <v>1051</v>
      </c>
      <c r="B500" s="1"/>
      <c r="C500" s="1"/>
      <c r="D500" s="4"/>
      <c r="E500" s="4"/>
      <c r="F500" s="4"/>
      <c r="G500" s="1"/>
      <c r="H500" s="1"/>
      <c r="I500" s="70"/>
      <c r="J500" s="3"/>
      <c r="K500" s="73"/>
    </row>
    <row x14ac:dyDescent="0.25" r="501" customHeight="1" ht="18.75">
      <c r="A501" s="3" t="s">
        <v>1051</v>
      </c>
      <c r="B501" s="1"/>
      <c r="C501" s="1"/>
      <c r="D501" s="4"/>
      <c r="E501" s="4"/>
      <c r="F501" s="4"/>
      <c r="G501" s="1"/>
      <c r="H501" s="1"/>
      <c r="I501" s="70"/>
      <c r="J501" s="3"/>
      <c r="K501" s="73"/>
    </row>
    <row x14ac:dyDescent="0.25" r="502" customHeight="1" ht="18.75">
      <c r="A502" s="3" t="s">
        <v>1051</v>
      </c>
      <c r="B502" s="1"/>
      <c r="C502" s="1"/>
      <c r="D502" s="4"/>
      <c r="E502" s="4"/>
      <c r="F502" s="4"/>
      <c r="G502" s="1"/>
      <c r="H502" s="1"/>
      <c r="I502" s="70"/>
      <c r="J502" s="3"/>
      <c r="K502" s="73"/>
    </row>
    <row x14ac:dyDescent="0.25" r="503" customHeight="1" ht="18.75">
      <c r="A503" s="3" t="s">
        <v>1051</v>
      </c>
      <c r="B503" s="1"/>
      <c r="C503" s="1"/>
      <c r="D503" s="4"/>
      <c r="E503" s="4"/>
      <c r="F503" s="4"/>
      <c r="G503" s="1"/>
      <c r="H503" s="1"/>
      <c r="I503" s="70"/>
      <c r="J503" s="3"/>
      <c r="K503" s="73"/>
    </row>
    <row x14ac:dyDescent="0.25" r="504" customHeight="1" ht="18.75">
      <c r="A504" s="3" t="s">
        <v>1051</v>
      </c>
      <c r="B504" s="1"/>
      <c r="C504" s="1"/>
      <c r="D504" s="4"/>
      <c r="E504" s="4"/>
      <c r="F504" s="4"/>
      <c r="G504" s="1"/>
      <c r="H504" s="1"/>
      <c r="I504" s="70"/>
      <c r="J504" s="3"/>
      <c r="K504" s="73"/>
    </row>
    <row x14ac:dyDescent="0.25" r="505" customHeight="1" ht="18.75">
      <c r="A505" s="3" t="s">
        <v>1051</v>
      </c>
      <c r="B505" s="1"/>
      <c r="C505" s="1"/>
      <c r="D505" s="4"/>
      <c r="E505" s="4"/>
      <c r="F505" s="4"/>
      <c r="G505" s="1"/>
      <c r="H505" s="1"/>
      <c r="I505" s="70"/>
      <c r="J505" s="3"/>
      <c r="K505" s="73"/>
    </row>
    <row x14ac:dyDescent="0.25" r="506" customHeight="1" ht="18.75">
      <c r="A506" s="3" t="s">
        <v>1051</v>
      </c>
      <c r="B506" s="1"/>
      <c r="C506" s="1"/>
      <c r="D506" s="4"/>
      <c r="E506" s="4"/>
      <c r="F506" s="4"/>
      <c r="G506" s="1"/>
      <c r="H506" s="1"/>
      <c r="I506" s="70"/>
      <c r="J506" s="3"/>
      <c r="K506" s="73"/>
    </row>
    <row x14ac:dyDescent="0.25" r="507" customHeight="1" ht="18.75">
      <c r="A507" s="3" t="s">
        <v>1051</v>
      </c>
      <c r="B507" s="1"/>
      <c r="C507" s="1"/>
      <c r="D507" s="4"/>
      <c r="E507" s="4"/>
      <c r="F507" s="4"/>
      <c r="G507" s="1"/>
      <c r="H507" s="1"/>
      <c r="I507" s="70"/>
      <c r="J507" s="3"/>
      <c r="K507" s="73"/>
    </row>
    <row x14ac:dyDescent="0.25" r="508" customHeight="1" ht="18.75">
      <c r="A508" s="3" t="s">
        <v>1051</v>
      </c>
      <c r="B508" s="1"/>
      <c r="C508" s="1"/>
      <c r="D508" s="4"/>
      <c r="E508" s="4"/>
      <c r="F508" s="4"/>
      <c r="G508" s="1"/>
      <c r="H508" s="1"/>
      <c r="I508" s="1"/>
      <c r="J508" s="3"/>
      <c r="K508" s="73"/>
    </row>
    <row x14ac:dyDescent="0.25" r="509" customHeight="1" ht="18.75">
      <c r="A509" s="3" t="s">
        <v>1051</v>
      </c>
      <c r="B509" s="1"/>
      <c r="C509" s="1"/>
      <c r="D509" s="4"/>
      <c r="E509" s="4"/>
      <c r="F509" s="4"/>
      <c r="G509" s="1"/>
      <c r="H509" s="1"/>
      <c r="I509" s="1"/>
      <c r="J509" s="3"/>
      <c r="K509" s="73"/>
    </row>
    <row x14ac:dyDescent="0.25" r="510" customHeight="1" ht="18.75">
      <c r="A510" s="3" t="s">
        <v>1051</v>
      </c>
      <c r="B510" s="1"/>
      <c r="C510" s="1"/>
      <c r="D510" s="4"/>
      <c r="E510" s="4"/>
      <c r="F510" s="4"/>
      <c r="G510" s="1"/>
      <c r="H510" s="1"/>
      <c r="I510" s="1"/>
      <c r="J510" s="3"/>
      <c r="K510" s="73"/>
    </row>
    <row x14ac:dyDescent="0.25" r="511" customHeight="1" ht="18.75">
      <c r="A511" s="3" t="s">
        <v>1051</v>
      </c>
      <c r="B511" s="1"/>
      <c r="C511" s="1"/>
      <c r="D511" s="4"/>
      <c r="E511" s="4"/>
      <c r="F511" s="4"/>
      <c r="G511" s="1"/>
      <c r="H511" s="1"/>
      <c r="I511" s="1"/>
      <c r="J511" s="3"/>
      <c r="K511" s="73"/>
    </row>
    <row x14ac:dyDescent="0.25" r="512" customHeight="1" ht="18.75">
      <c r="A512" s="3" t="s">
        <v>1051</v>
      </c>
      <c r="B512" s="1"/>
      <c r="C512" s="1"/>
      <c r="D512" s="4"/>
      <c r="E512" s="4"/>
      <c r="F512" s="4"/>
      <c r="G512" s="1"/>
      <c r="H512" s="1"/>
      <c r="I512" s="1"/>
      <c r="J512" s="3"/>
      <c r="K512" s="73"/>
    </row>
    <row x14ac:dyDescent="0.25" r="513" customHeight="1" ht="18.75">
      <c r="A513" s="3" t="s">
        <v>1051</v>
      </c>
      <c r="B513" s="1"/>
      <c r="C513" s="1"/>
      <c r="D513" s="4"/>
      <c r="E513" s="4"/>
      <c r="F513" s="4"/>
      <c r="G513" s="1"/>
      <c r="H513" s="1"/>
      <c r="I513" s="1"/>
      <c r="J513" s="3"/>
      <c r="K513" s="73"/>
    </row>
    <row x14ac:dyDescent="0.25" r="514" customHeight="1" ht="18.75">
      <c r="A514" s="3" t="s">
        <v>1051</v>
      </c>
      <c r="B514" s="1"/>
      <c r="C514" s="1"/>
      <c r="D514" s="4"/>
      <c r="E514" s="4"/>
      <c r="F514" s="4"/>
      <c r="G514" s="1"/>
      <c r="H514" s="1"/>
      <c r="I514" s="1"/>
      <c r="J514" s="3"/>
      <c r="K514" s="73"/>
    </row>
    <row x14ac:dyDescent="0.25" r="515" customHeight="1" ht="18.75">
      <c r="A515" s="3" t="s">
        <v>1051</v>
      </c>
      <c r="B515" s="1"/>
      <c r="C515" s="1"/>
      <c r="D515" s="4"/>
      <c r="E515" s="4"/>
      <c r="F515" s="4"/>
      <c r="G515" s="1"/>
      <c r="H515" s="1"/>
      <c r="I515" s="1"/>
      <c r="J515" s="3"/>
      <c r="K515" s="73"/>
    </row>
    <row x14ac:dyDescent="0.25" r="516" customHeight="1" ht="18.75">
      <c r="A516" s="3" t="s">
        <v>1051</v>
      </c>
      <c r="B516" s="1"/>
      <c r="C516" s="1"/>
      <c r="D516" s="4"/>
      <c r="E516" s="4"/>
      <c r="F516" s="4"/>
      <c r="G516" s="1"/>
      <c r="H516" s="1"/>
      <c r="I516" s="1"/>
      <c r="J516" s="3"/>
      <c r="K516" s="73"/>
    </row>
    <row x14ac:dyDescent="0.25" r="517" customHeight="1" ht="18.75">
      <c r="A517" s="3" t="s">
        <v>1051</v>
      </c>
      <c r="B517" s="1"/>
      <c r="C517" s="1"/>
      <c r="D517" s="4"/>
      <c r="E517" s="4"/>
      <c r="F517" s="4"/>
      <c r="G517" s="1"/>
      <c r="H517" s="1"/>
      <c r="I517" s="1"/>
      <c r="J517" s="3"/>
      <c r="K517" s="73"/>
    </row>
    <row x14ac:dyDescent="0.25" r="518" customHeight="1" ht="18.75">
      <c r="A518" s="3" t="s">
        <v>1051</v>
      </c>
      <c r="B518" s="1"/>
      <c r="C518" s="1"/>
      <c r="D518" s="4"/>
      <c r="E518" s="4"/>
      <c r="F518" s="4"/>
      <c r="G518" s="1"/>
      <c r="H518" s="1"/>
      <c r="I518" s="1"/>
      <c r="J518" s="3"/>
      <c r="K518" s="73"/>
    </row>
    <row x14ac:dyDescent="0.25" r="519" customHeight="1" ht="18.75">
      <c r="A519" s="3" t="s">
        <v>1051</v>
      </c>
      <c r="B519" s="1"/>
      <c r="C519" s="1"/>
      <c r="D519" s="4"/>
      <c r="E519" s="4"/>
      <c r="F519" s="4"/>
      <c r="G519" s="1"/>
      <c r="H519" s="1"/>
      <c r="I519" s="1"/>
      <c r="J519" s="3"/>
      <c r="K519" s="73"/>
    </row>
    <row x14ac:dyDescent="0.25" r="520" customHeight="1" ht="18.75">
      <c r="A520" s="3" t="s">
        <v>1051</v>
      </c>
      <c r="B520" s="1"/>
      <c r="C520" s="1"/>
      <c r="D520" s="4"/>
      <c r="E520" s="4"/>
      <c r="F520" s="4"/>
      <c r="G520" s="1"/>
      <c r="H520" s="1"/>
      <c r="I520" s="1"/>
      <c r="J520" s="3"/>
      <c r="K520" s="73"/>
    </row>
    <row x14ac:dyDescent="0.25" r="521" customHeight="1" ht="18.75">
      <c r="A521" s="3" t="s">
        <v>1051</v>
      </c>
      <c r="B521" s="1"/>
      <c r="C521" s="1"/>
      <c r="D521" s="4"/>
      <c r="E521" s="4"/>
      <c r="F521" s="4"/>
      <c r="G521" s="1"/>
      <c r="H521" s="1"/>
      <c r="I521" s="1"/>
      <c r="J521" s="3"/>
      <c r="K521" s="73"/>
    </row>
    <row x14ac:dyDescent="0.25" r="522" customHeight="1" ht="18.75">
      <c r="A522" s="3" t="s">
        <v>1051</v>
      </c>
      <c r="B522" s="1"/>
      <c r="C522" s="1"/>
      <c r="D522" s="4"/>
      <c r="E522" s="4"/>
      <c r="F522" s="4"/>
      <c r="G522" s="1"/>
      <c r="H522" s="1"/>
      <c r="I522" s="1"/>
      <c r="J522" s="3"/>
      <c r="K522" s="73"/>
    </row>
    <row x14ac:dyDescent="0.25" r="523" customHeight="1" ht="18.75">
      <c r="A523" s="3" t="s">
        <v>1051</v>
      </c>
      <c r="B523" s="1"/>
      <c r="C523" s="1"/>
      <c r="D523" s="4"/>
      <c r="E523" s="4"/>
      <c r="F523" s="4"/>
      <c r="G523" s="1"/>
      <c r="H523" s="1"/>
      <c r="I523" s="1"/>
      <c r="J523" s="3"/>
      <c r="K523" s="73"/>
    </row>
    <row x14ac:dyDescent="0.25" r="524" customHeight="1" ht="18.75">
      <c r="A524" s="3" t="s">
        <v>1051</v>
      </c>
      <c r="B524" s="1"/>
      <c r="C524" s="1"/>
      <c r="D524" s="4"/>
      <c r="E524" s="4"/>
      <c r="F524" s="4"/>
      <c r="G524" s="1"/>
      <c r="H524" s="1"/>
      <c r="I524" s="1"/>
      <c r="J524" s="3"/>
      <c r="K524" s="73"/>
    </row>
    <row x14ac:dyDescent="0.25" r="525" customHeight="1" ht="18.75">
      <c r="A525" s="3" t="s">
        <v>1051</v>
      </c>
      <c r="B525" s="1"/>
      <c r="C525" s="1"/>
      <c r="D525" s="4"/>
      <c r="E525" s="4"/>
      <c r="F525" s="4"/>
      <c r="G525" s="1"/>
      <c r="H525" s="1"/>
      <c r="I525" s="1"/>
      <c r="J525" s="3"/>
      <c r="K525" s="73"/>
    </row>
    <row x14ac:dyDescent="0.25" r="526" customHeight="1" ht="18.75">
      <c r="A526" s="3" t="s">
        <v>1051</v>
      </c>
      <c r="B526" s="1"/>
      <c r="C526" s="1"/>
      <c r="D526" s="4"/>
      <c r="E526" s="4"/>
      <c r="F526" s="4"/>
      <c r="G526" s="1"/>
      <c r="H526" s="1"/>
      <c r="I526" s="1"/>
      <c r="J526" s="3"/>
      <c r="K526" s="73"/>
    </row>
    <row x14ac:dyDescent="0.25" r="527" customHeight="1" ht="18.75">
      <c r="A527" s="3" t="s">
        <v>1051</v>
      </c>
      <c r="B527" s="1"/>
      <c r="C527" s="1"/>
      <c r="D527" s="4"/>
      <c r="E527" s="4"/>
      <c r="F527" s="4"/>
      <c r="G527" s="1"/>
      <c r="H527" s="1"/>
      <c r="I527" s="1"/>
      <c r="J527" s="3"/>
      <c r="K527" s="73"/>
    </row>
    <row x14ac:dyDescent="0.25" r="528" customHeight="1" ht="18.75">
      <c r="A528" s="3" t="s">
        <v>1051</v>
      </c>
      <c r="B528" s="1"/>
      <c r="C528" s="1"/>
      <c r="D528" s="4"/>
      <c r="E528" s="4"/>
      <c r="F528" s="4"/>
      <c r="G528" s="1"/>
      <c r="H528" s="1"/>
      <c r="I528" s="1"/>
      <c r="J528" s="3"/>
      <c r="K528" s="73"/>
    </row>
    <row x14ac:dyDescent="0.25" r="529" customHeight="1" ht="18.75">
      <c r="A529" s="3" t="s">
        <v>1051</v>
      </c>
      <c r="B529" s="1"/>
      <c r="C529" s="1"/>
      <c r="D529" s="4"/>
      <c r="E529" s="4"/>
      <c r="F529" s="4"/>
      <c r="G529" s="1"/>
      <c r="H529" s="1"/>
      <c r="I529" s="1"/>
      <c r="J529" s="3"/>
      <c r="K529" s="73"/>
    </row>
    <row x14ac:dyDescent="0.25" r="530" customHeight="1" ht="18.75">
      <c r="A530" s="3" t="s">
        <v>1051</v>
      </c>
      <c r="B530" s="1"/>
      <c r="C530" s="1"/>
      <c r="D530" s="4"/>
      <c r="E530" s="4"/>
      <c r="F530" s="4"/>
      <c r="G530" s="1"/>
      <c r="H530" s="1"/>
      <c r="I530" s="1"/>
      <c r="J530" s="3"/>
      <c r="K530" s="73"/>
    </row>
    <row x14ac:dyDescent="0.25" r="531" customHeight="1" ht="18.75">
      <c r="A531" s="3" t="s">
        <v>1051</v>
      </c>
      <c r="B531" s="1"/>
      <c r="C531" s="1"/>
      <c r="D531" s="4"/>
      <c r="E531" s="4"/>
      <c r="F531" s="4"/>
      <c r="G531" s="1"/>
      <c r="H531" s="1"/>
      <c r="I531" s="1"/>
      <c r="J531" s="3"/>
      <c r="K531" s="73"/>
    </row>
    <row x14ac:dyDescent="0.25" r="532" customHeight="1" ht="18.75">
      <c r="A532" s="3"/>
      <c r="B532" s="1"/>
      <c r="C532" s="1"/>
      <c r="D532" s="4"/>
      <c r="E532" s="4"/>
      <c r="F532" s="4"/>
      <c r="G532" s="1"/>
      <c r="H532" s="1"/>
      <c r="I532" s="1"/>
      <c r="J532" s="3"/>
      <c r="K532" s="73"/>
    </row>
    <row x14ac:dyDescent="0.25" r="533" customHeight="1" ht="18.75">
      <c r="A533" s="3" t="s">
        <v>1051</v>
      </c>
      <c r="B533" s="1"/>
      <c r="C533" s="1"/>
      <c r="D533" s="4"/>
      <c r="E533" s="4"/>
      <c r="F533" s="4"/>
      <c r="G533" s="1"/>
      <c r="H533" s="1"/>
      <c r="I533" s="1"/>
      <c r="J533" s="3"/>
      <c r="K533" s="73"/>
    </row>
    <row x14ac:dyDescent="0.25" r="534" customHeight="1" ht="18.75">
      <c r="A534" s="3" t="s">
        <v>1051</v>
      </c>
      <c r="B534" s="1"/>
      <c r="C534" s="1"/>
      <c r="D534" s="4"/>
      <c r="E534" s="4"/>
      <c r="F534" s="4"/>
      <c r="G534" s="1"/>
      <c r="H534" s="1"/>
      <c r="I534" s="1"/>
      <c r="J534" s="3"/>
      <c r="K534" s="73"/>
    </row>
    <row x14ac:dyDescent="0.25" r="535" customHeight="1" ht="18.75">
      <c r="A535" s="3"/>
      <c r="B535" s="1"/>
      <c r="C535" s="1"/>
      <c r="D535" s="4"/>
      <c r="E535" s="4"/>
      <c r="F535" s="4"/>
      <c r="G535" s="1"/>
      <c r="H535" s="1"/>
      <c r="I535" s="1"/>
      <c r="J535" s="3"/>
      <c r="K535" s="73"/>
    </row>
    <row x14ac:dyDescent="0.25" r="536" customHeight="1" ht="18.75">
      <c r="A536" s="3" t="s">
        <v>1051</v>
      </c>
      <c r="B536" s="1"/>
      <c r="C536" s="1"/>
      <c r="D536" s="4"/>
      <c r="E536" s="4"/>
      <c r="F536" s="4"/>
      <c r="G536" s="1"/>
      <c r="H536" s="1"/>
      <c r="I536" s="1"/>
      <c r="J536" s="3"/>
      <c r="K536" s="73"/>
    </row>
    <row x14ac:dyDescent="0.25" r="537" customHeight="1" ht="18.75">
      <c r="A537" s="3" t="s">
        <v>1051</v>
      </c>
      <c r="B537" s="1"/>
      <c r="C537" s="1"/>
      <c r="D537" s="4"/>
      <c r="E537" s="4"/>
      <c r="F537" s="4"/>
      <c r="G537" s="1"/>
      <c r="H537" s="1"/>
      <c r="I537" s="1"/>
      <c r="J537" s="3"/>
      <c r="K537" s="73"/>
    </row>
    <row x14ac:dyDescent="0.25" r="538" customHeight="1" ht="18.75">
      <c r="A538" s="3" t="s">
        <v>1051</v>
      </c>
      <c r="B538" s="1"/>
      <c r="C538" s="1"/>
      <c r="D538" s="4"/>
      <c r="E538" s="4"/>
      <c r="F538" s="4"/>
      <c r="G538" s="1"/>
      <c r="H538" s="1"/>
      <c r="I538" s="1"/>
      <c r="J538" s="3"/>
      <c r="K538" s="73"/>
    </row>
    <row x14ac:dyDescent="0.25" r="539" customHeight="1" ht="18.75">
      <c r="A539" s="3" t="s">
        <v>1051</v>
      </c>
      <c r="B539" s="1"/>
      <c r="C539" s="1"/>
      <c r="D539" s="4"/>
      <c r="E539" s="4"/>
      <c r="F539" s="4"/>
      <c r="G539" s="1"/>
      <c r="H539" s="1"/>
      <c r="I539" s="1"/>
      <c r="J539" s="3"/>
      <c r="K539" s="73"/>
    </row>
    <row x14ac:dyDescent="0.25" r="540" customHeight="1" ht="18.75">
      <c r="A540" s="3" t="s">
        <v>1051</v>
      </c>
      <c r="B540" s="1"/>
      <c r="C540" s="1"/>
      <c r="D540" s="4"/>
      <c r="E540" s="4"/>
      <c r="F540" s="4"/>
      <c r="G540" s="1"/>
      <c r="H540" s="1"/>
      <c r="I540" s="1"/>
      <c r="J540" s="3"/>
      <c r="K540" s="73"/>
    </row>
    <row x14ac:dyDescent="0.25" r="541" customHeight="1" ht="18.75">
      <c r="A541" s="3" t="s">
        <v>1051</v>
      </c>
      <c r="B541" s="1"/>
      <c r="C541" s="1"/>
      <c r="D541" s="4"/>
      <c r="E541" s="4"/>
      <c r="F541" s="4"/>
      <c r="G541" s="1"/>
      <c r="H541" s="1"/>
      <c r="I541" s="1"/>
      <c r="J541" s="3"/>
      <c r="K541" s="73"/>
    </row>
    <row x14ac:dyDescent="0.25" r="542" customHeight="1" ht="18.75">
      <c r="A542" s="3" t="s">
        <v>1051</v>
      </c>
      <c r="B542" s="1"/>
      <c r="C542" s="1"/>
      <c r="D542" s="4"/>
      <c r="E542" s="4"/>
      <c r="F542" s="4"/>
      <c r="G542" s="1"/>
      <c r="H542" s="1"/>
      <c r="I542" s="1"/>
      <c r="J542" s="3"/>
      <c r="K542" s="73"/>
    </row>
    <row x14ac:dyDescent="0.25" r="543" customHeight="1" ht="18.75">
      <c r="A543" s="3" t="s">
        <v>1051</v>
      </c>
      <c r="B543" s="1"/>
      <c r="C543" s="1"/>
      <c r="D543" s="4"/>
      <c r="E543" s="4"/>
      <c r="F543" s="4"/>
      <c r="G543" s="1"/>
      <c r="H543" s="1"/>
      <c r="I543" s="1"/>
      <c r="J543" s="3"/>
      <c r="K543" s="7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22"/>
  <sheetViews>
    <sheetView workbookViewId="0"/>
  </sheetViews>
  <sheetFormatPr defaultRowHeight="15" x14ac:dyDescent="0.25"/>
  <cols>
    <col min="1" max="1" style="6" width="21.433571428571426" customWidth="1" bestFit="1"/>
    <col min="2" max="2" style="7" width="42.86214285714286" customWidth="1" bestFit="1"/>
    <col min="3" max="3" style="6" width="50.86214285714286" customWidth="1" bestFit="1"/>
    <col min="4" max="4" style="7" width="20.14785714285714" customWidth="1" bestFit="1"/>
  </cols>
  <sheetData>
    <row x14ac:dyDescent="0.25" r="1" customHeight="1" ht="18.75">
      <c r="A1" s="1"/>
      <c r="B1" s="16" t="s">
        <v>157</v>
      </c>
      <c r="C1" s="1"/>
      <c r="D1" s="17"/>
    </row>
    <row x14ac:dyDescent="0.25" r="2" customHeight="1" ht="18.75">
      <c r="A2" s="1"/>
      <c r="B2" s="16" t="s">
        <v>158</v>
      </c>
      <c r="C2" s="18" t="s">
        <v>159</v>
      </c>
      <c r="D2" s="17"/>
    </row>
    <row x14ac:dyDescent="0.25" r="3" customHeight="1" ht="18.75">
      <c r="A3" s="1"/>
      <c r="B3" s="19">
        <v>2016</v>
      </c>
      <c r="C3" s="1"/>
      <c r="D3" s="3"/>
    </row>
    <row x14ac:dyDescent="0.25" r="4" customHeight="1" ht="18.75">
      <c r="A4" s="1"/>
      <c r="B4" s="19" t="s">
        <v>160</v>
      </c>
      <c r="C4" s="1"/>
      <c r="D4" s="3"/>
    </row>
    <row x14ac:dyDescent="0.25" r="5" customHeight="1" ht="18.75">
      <c r="A5" s="1"/>
      <c r="B5" s="19" t="s">
        <v>161</v>
      </c>
      <c r="C5" s="1"/>
      <c r="D5" s="3"/>
    </row>
    <row x14ac:dyDescent="0.25" r="6" customHeight="1" ht="18.75" customFormat="1" s="20">
      <c r="A6" s="21"/>
      <c r="B6" s="22"/>
      <c r="C6" s="21"/>
      <c r="D6" s="23"/>
    </row>
    <row x14ac:dyDescent="0.25" r="7" customHeight="1" ht="18.75" customFormat="1" s="20">
      <c r="A7" s="21"/>
      <c r="B7" s="22"/>
      <c r="C7" s="21"/>
      <c r="D7" s="23"/>
    </row>
    <row x14ac:dyDescent="0.25" r="8" customHeight="1" ht="18.75" customFormat="1" s="20">
      <c r="A8" s="21"/>
      <c r="B8" s="22"/>
      <c r="C8" s="21"/>
      <c r="D8" s="23"/>
    </row>
    <row x14ac:dyDescent="0.25" r="9" customHeight="1" ht="18.75" customFormat="1" s="20">
      <c r="A9" s="24" t="s">
        <v>162</v>
      </c>
      <c r="B9" s="25" t="s">
        <v>163</v>
      </c>
      <c r="C9" s="24" t="s">
        <v>164</v>
      </c>
      <c r="D9" s="26" t="s">
        <v>165</v>
      </c>
    </row>
    <row x14ac:dyDescent="0.25" r="10" customHeight="1" ht="18.75">
      <c r="A10" s="1"/>
      <c r="B10" s="4"/>
      <c r="C10" s="4"/>
      <c r="D10" s="3"/>
    </row>
    <row x14ac:dyDescent="0.25" r="11" customHeight="1" ht="18.75" customFormat="1" s="20">
      <c r="A11" s="24" t="s">
        <v>162</v>
      </c>
      <c r="B11" s="25" t="s">
        <v>163</v>
      </c>
      <c r="C11" s="24" t="s">
        <v>164</v>
      </c>
      <c r="D11" s="26" t="s">
        <v>165</v>
      </c>
    </row>
    <row x14ac:dyDescent="0.25" r="12" customHeight="1" ht="18.75">
      <c r="A12" s="27" t="s">
        <v>166</v>
      </c>
      <c r="B12" s="28"/>
      <c r="C12" s="28"/>
      <c r="D12" s="29"/>
    </row>
    <row x14ac:dyDescent="0.25" r="13" customHeight="1" ht="18.75">
      <c r="A13" s="2" t="s">
        <v>166</v>
      </c>
      <c r="B13" s="9" t="s">
        <v>167</v>
      </c>
      <c r="C13" s="2" t="s">
        <v>62</v>
      </c>
      <c r="D13" s="30" t="s">
        <v>154</v>
      </c>
    </row>
    <row x14ac:dyDescent="0.25" r="14" customHeight="1" ht="18.75">
      <c r="A14" s="2" t="s">
        <v>166</v>
      </c>
      <c r="B14" s="9" t="s">
        <v>168</v>
      </c>
      <c r="C14" s="2" t="s">
        <v>22</v>
      </c>
      <c r="D14" s="30" t="s">
        <v>154</v>
      </c>
    </row>
    <row x14ac:dyDescent="0.25" r="15" customHeight="1" ht="18.75">
      <c r="A15" s="2" t="s">
        <v>166</v>
      </c>
      <c r="B15" s="9" t="s">
        <v>169</v>
      </c>
      <c r="C15" s="2" t="s">
        <v>73</v>
      </c>
      <c r="D15" s="30" t="s">
        <v>154</v>
      </c>
    </row>
    <row x14ac:dyDescent="0.25" r="16" customHeight="1" ht="18.75">
      <c r="A16" s="2" t="s">
        <v>166</v>
      </c>
      <c r="B16" s="9" t="s">
        <v>170</v>
      </c>
      <c r="C16" s="2" t="s">
        <v>97</v>
      </c>
      <c r="D16" s="30" t="s">
        <v>154</v>
      </c>
    </row>
    <row x14ac:dyDescent="0.25" r="17" customHeight="1" ht="18.75">
      <c r="A17" s="2" t="s">
        <v>166</v>
      </c>
      <c r="B17" s="9" t="s">
        <v>171</v>
      </c>
      <c r="C17" s="2" t="s">
        <v>172</v>
      </c>
      <c r="D17" s="30" t="s">
        <v>173</v>
      </c>
    </row>
    <row x14ac:dyDescent="0.25" r="18" customHeight="1" ht="18.75">
      <c r="A18" s="2" t="s">
        <v>166</v>
      </c>
      <c r="B18" s="9" t="s">
        <v>174</v>
      </c>
      <c r="C18" s="2" t="s">
        <v>129</v>
      </c>
      <c r="D18" s="30" t="s">
        <v>175</v>
      </c>
    </row>
    <row x14ac:dyDescent="0.25" r="19" customHeight="1" ht="18.75">
      <c r="A19" s="2" t="s">
        <v>166</v>
      </c>
      <c r="B19" s="9" t="s">
        <v>176</v>
      </c>
      <c r="C19" s="2" t="s">
        <v>177</v>
      </c>
      <c r="D19" s="30" t="s">
        <v>173</v>
      </c>
    </row>
    <row x14ac:dyDescent="0.25" r="20" customHeight="1" ht="18.75">
      <c r="A20" s="2" t="s">
        <v>166</v>
      </c>
      <c r="B20" s="9" t="s">
        <v>168</v>
      </c>
      <c r="C20" s="2" t="s">
        <v>23</v>
      </c>
      <c r="D20" s="30" t="s">
        <v>154</v>
      </c>
    </row>
    <row x14ac:dyDescent="0.25" r="21" customHeight="1" ht="18.75">
      <c r="A21" s="2" t="s">
        <v>166</v>
      </c>
      <c r="B21" s="9" t="s">
        <v>170</v>
      </c>
      <c r="C21" s="2" t="s">
        <v>98</v>
      </c>
      <c r="D21" s="30" t="s">
        <v>154</v>
      </c>
    </row>
    <row x14ac:dyDescent="0.25" r="22" customHeight="1" ht="18.75">
      <c r="A22" s="2" t="s">
        <v>166</v>
      </c>
      <c r="B22" s="9" t="s">
        <v>174</v>
      </c>
      <c r="C22" s="2" t="s">
        <v>178</v>
      </c>
      <c r="D22" s="30" t="s">
        <v>173</v>
      </c>
    </row>
    <row x14ac:dyDescent="0.25" r="23" customHeight="1" ht="18.75">
      <c r="A23" s="2" t="s">
        <v>166</v>
      </c>
      <c r="B23" s="9" t="s">
        <v>169</v>
      </c>
      <c r="C23" s="2" t="s">
        <v>74</v>
      </c>
      <c r="D23" s="30" t="s">
        <v>154</v>
      </c>
    </row>
    <row x14ac:dyDescent="0.25" r="24" customHeight="1" ht="18.75">
      <c r="A24" s="2" t="s">
        <v>166</v>
      </c>
      <c r="B24" s="9" t="s">
        <v>179</v>
      </c>
      <c r="C24" s="2" t="s">
        <v>57</v>
      </c>
      <c r="D24" s="30" t="s">
        <v>154</v>
      </c>
    </row>
    <row x14ac:dyDescent="0.25" r="25" customHeight="1" ht="18.75">
      <c r="A25" s="2" t="s">
        <v>166</v>
      </c>
      <c r="B25" s="9" t="s">
        <v>170</v>
      </c>
      <c r="C25" s="2" t="s">
        <v>100</v>
      </c>
      <c r="D25" s="30" t="s">
        <v>154</v>
      </c>
    </row>
    <row x14ac:dyDescent="0.25" r="26" customHeight="1" ht="18.75">
      <c r="A26" s="2" t="s">
        <v>166</v>
      </c>
      <c r="B26" s="9" t="s">
        <v>174</v>
      </c>
      <c r="C26" s="2" t="s">
        <v>37</v>
      </c>
      <c r="D26" s="30" t="s">
        <v>154</v>
      </c>
    </row>
    <row x14ac:dyDescent="0.25" r="27" customHeight="1" ht="18.75">
      <c r="A27" s="2" t="s">
        <v>166</v>
      </c>
      <c r="B27" s="9" t="s">
        <v>169</v>
      </c>
      <c r="C27" s="2" t="s">
        <v>75</v>
      </c>
      <c r="D27" s="30" t="s">
        <v>154</v>
      </c>
    </row>
    <row x14ac:dyDescent="0.25" r="28" customHeight="1" ht="18.75">
      <c r="A28" s="2" t="s">
        <v>166</v>
      </c>
      <c r="B28" s="9" t="s">
        <v>171</v>
      </c>
      <c r="C28" s="2" t="s">
        <v>79</v>
      </c>
      <c r="D28" s="30" t="s">
        <v>154</v>
      </c>
    </row>
    <row x14ac:dyDescent="0.25" r="29" customHeight="1" ht="18.75">
      <c r="A29" s="2" t="s">
        <v>166</v>
      </c>
      <c r="B29" s="9" t="s">
        <v>174</v>
      </c>
      <c r="C29" s="2" t="s">
        <v>38</v>
      </c>
      <c r="D29" s="30" t="s">
        <v>154</v>
      </c>
    </row>
    <row x14ac:dyDescent="0.25" r="30" customHeight="1" ht="18.75">
      <c r="A30" s="2" t="s">
        <v>166</v>
      </c>
      <c r="B30" s="9" t="s">
        <v>180</v>
      </c>
      <c r="C30" s="2" t="s">
        <v>181</v>
      </c>
      <c r="D30" s="30" t="s">
        <v>175</v>
      </c>
    </row>
    <row x14ac:dyDescent="0.25" r="31" customHeight="1" ht="18.75">
      <c r="A31" s="2" t="s">
        <v>166</v>
      </c>
      <c r="B31" s="9" t="s">
        <v>176</v>
      </c>
      <c r="C31" s="2" t="s">
        <v>182</v>
      </c>
      <c r="D31" s="30" t="s">
        <v>173</v>
      </c>
    </row>
    <row x14ac:dyDescent="0.25" r="32" customHeight="1" ht="18.75">
      <c r="A32" s="2" t="s">
        <v>166</v>
      </c>
      <c r="B32" s="9" t="s">
        <v>176</v>
      </c>
      <c r="C32" s="2" t="s">
        <v>116</v>
      </c>
      <c r="D32" s="30" t="s">
        <v>154</v>
      </c>
    </row>
    <row x14ac:dyDescent="0.25" r="33" customHeight="1" ht="18.75">
      <c r="A33" s="2" t="s">
        <v>166</v>
      </c>
      <c r="B33" s="9" t="s">
        <v>183</v>
      </c>
      <c r="C33" s="2" t="s">
        <v>84</v>
      </c>
      <c r="D33" s="30" t="s">
        <v>154</v>
      </c>
    </row>
    <row x14ac:dyDescent="0.25" r="34" customHeight="1" ht="18.75">
      <c r="A34" s="2" t="s">
        <v>166</v>
      </c>
      <c r="B34" s="9" t="s">
        <v>174</v>
      </c>
      <c r="C34" s="2" t="s">
        <v>39</v>
      </c>
      <c r="D34" s="30" t="s">
        <v>154</v>
      </c>
    </row>
    <row x14ac:dyDescent="0.25" r="35" customHeight="1" ht="18.75">
      <c r="A35" s="2" t="s">
        <v>166</v>
      </c>
      <c r="B35" s="9" t="s">
        <v>183</v>
      </c>
      <c r="C35" s="2" t="s">
        <v>85</v>
      </c>
      <c r="D35" s="30" t="s">
        <v>154</v>
      </c>
    </row>
    <row x14ac:dyDescent="0.25" r="36" customHeight="1" ht="18.75">
      <c r="A36" s="2" t="s">
        <v>166</v>
      </c>
      <c r="B36" s="9" t="s">
        <v>184</v>
      </c>
      <c r="C36" s="2" t="s">
        <v>46</v>
      </c>
      <c r="D36" s="30" t="s">
        <v>154</v>
      </c>
    </row>
    <row x14ac:dyDescent="0.25" r="37" customHeight="1" ht="18.75">
      <c r="A37" s="2" t="s">
        <v>166</v>
      </c>
      <c r="B37" s="9" t="s">
        <v>185</v>
      </c>
      <c r="C37" s="2" t="s">
        <v>31</v>
      </c>
      <c r="D37" s="30" t="s">
        <v>154</v>
      </c>
    </row>
    <row x14ac:dyDescent="0.25" r="38" customHeight="1" ht="18.75">
      <c r="A38" s="2" t="s">
        <v>166</v>
      </c>
      <c r="B38" s="9" t="s">
        <v>180</v>
      </c>
      <c r="C38" s="2" t="s">
        <v>51</v>
      </c>
      <c r="D38" s="30" t="s">
        <v>154</v>
      </c>
    </row>
    <row x14ac:dyDescent="0.25" r="39" customHeight="1" ht="18.75">
      <c r="A39" s="2" t="s">
        <v>166</v>
      </c>
      <c r="B39" s="9" t="s">
        <v>186</v>
      </c>
      <c r="C39" s="2" t="s">
        <v>68</v>
      </c>
      <c r="D39" s="30" t="s">
        <v>154</v>
      </c>
    </row>
    <row x14ac:dyDescent="0.25" r="40" customHeight="1" ht="18.75">
      <c r="A40" s="2" t="s">
        <v>166</v>
      </c>
      <c r="B40" s="9" t="s">
        <v>187</v>
      </c>
      <c r="C40" s="2" t="s">
        <v>27</v>
      </c>
      <c r="D40" s="30" t="s">
        <v>154</v>
      </c>
    </row>
    <row x14ac:dyDescent="0.25" r="41" customHeight="1" ht="18.75">
      <c r="A41" s="2" t="s">
        <v>166</v>
      </c>
      <c r="B41" s="9" t="s">
        <v>187</v>
      </c>
      <c r="C41" s="2" t="s">
        <v>28</v>
      </c>
      <c r="D41" s="30" t="s">
        <v>154</v>
      </c>
    </row>
    <row x14ac:dyDescent="0.25" r="42" customHeight="1" ht="18.75">
      <c r="A42" s="2" t="s">
        <v>166</v>
      </c>
      <c r="B42" s="9" t="s">
        <v>170</v>
      </c>
      <c r="C42" s="2" t="s">
        <v>101</v>
      </c>
      <c r="D42" s="30" t="s">
        <v>154</v>
      </c>
    </row>
    <row x14ac:dyDescent="0.25" r="43" customHeight="1" ht="18.75">
      <c r="A43" s="2" t="s">
        <v>166</v>
      </c>
      <c r="B43" s="9" t="s">
        <v>167</v>
      </c>
      <c r="C43" s="2" t="s">
        <v>63</v>
      </c>
      <c r="D43" s="30" t="s">
        <v>154</v>
      </c>
    </row>
    <row x14ac:dyDescent="0.25" r="44" customHeight="1" ht="18.75">
      <c r="A44" s="2" t="s">
        <v>166</v>
      </c>
      <c r="B44" s="9" t="s">
        <v>185</v>
      </c>
      <c r="C44" s="2" t="s">
        <v>32</v>
      </c>
      <c r="D44" s="30" t="s">
        <v>154</v>
      </c>
    </row>
    <row x14ac:dyDescent="0.25" r="45" customHeight="1" ht="18.75">
      <c r="A45" s="2" t="s">
        <v>166</v>
      </c>
      <c r="B45" s="9" t="s">
        <v>171</v>
      </c>
      <c r="C45" s="2" t="s">
        <v>188</v>
      </c>
      <c r="D45" s="30" t="s">
        <v>173</v>
      </c>
    </row>
    <row x14ac:dyDescent="0.25" r="46" customHeight="1" ht="18.75">
      <c r="A46" s="2" t="s">
        <v>166</v>
      </c>
      <c r="B46" s="9" t="s">
        <v>186</v>
      </c>
      <c r="C46" s="2" t="s">
        <v>69</v>
      </c>
      <c r="D46" s="30" t="s">
        <v>154</v>
      </c>
    </row>
    <row x14ac:dyDescent="0.25" r="47" customHeight="1" ht="18.75">
      <c r="A47" s="2" t="s">
        <v>166</v>
      </c>
      <c r="B47" s="9" t="s">
        <v>189</v>
      </c>
      <c r="C47" s="2" t="s">
        <v>190</v>
      </c>
      <c r="D47" s="30" t="s">
        <v>173</v>
      </c>
    </row>
    <row x14ac:dyDescent="0.25" r="48" customHeight="1" ht="18.75">
      <c r="A48" s="2" t="s">
        <v>166</v>
      </c>
      <c r="B48" s="9" t="s">
        <v>183</v>
      </c>
      <c r="C48" s="2" t="s">
        <v>191</v>
      </c>
      <c r="D48" s="30" t="s">
        <v>173</v>
      </c>
    </row>
    <row x14ac:dyDescent="0.25" r="49" customHeight="1" ht="18.75">
      <c r="A49" s="2" t="s">
        <v>166</v>
      </c>
      <c r="B49" s="9" t="s">
        <v>192</v>
      </c>
      <c r="C49" s="2" t="s">
        <v>112</v>
      </c>
      <c r="D49" s="30" t="s">
        <v>154</v>
      </c>
    </row>
    <row x14ac:dyDescent="0.25" r="50" customHeight="1" ht="18.75">
      <c r="A50" s="2" t="s">
        <v>166</v>
      </c>
      <c r="B50" s="9" t="s">
        <v>183</v>
      </c>
      <c r="C50" s="2" t="s">
        <v>86</v>
      </c>
      <c r="D50" s="30" t="s">
        <v>154</v>
      </c>
    </row>
    <row x14ac:dyDescent="0.25" r="51" customHeight="1" ht="18.75">
      <c r="A51" s="2" t="s">
        <v>166</v>
      </c>
      <c r="B51" s="9" t="s">
        <v>187</v>
      </c>
      <c r="C51" s="2" t="s">
        <v>193</v>
      </c>
      <c r="D51" s="30" t="s">
        <v>173</v>
      </c>
    </row>
    <row x14ac:dyDescent="0.25" r="52" customHeight="1" ht="18.75">
      <c r="A52" s="2" t="s">
        <v>166</v>
      </c>
      <c r="B52" s="9" t="s">
        <v>168</v>
      </c>
      <c r="C52" s="2" t="s">
        <v>24</v>
      </c>
      <c r="D52" s="30" t="s">
        <v>154</v>
      </c>
    </row>
    <row x14ac:dyDescent="0.25" r="53" customHeight="1" ht="18.75">
      <c r="A53" s="2" t="s">
        <v>166</v>
      </c>
      <c r="B53" s="9" t="s">
        <v>183</v>
      </c>
      <c r="C53" s="2" t="s">
        <v>194</v>
      </c>
      <c r="D53" s="30" t="s">
        <v>173</v>
      </c>
    </row>
    <row x14ac:dyDescent="0.25" r="54" customHeight="1" ht="18.75">
      <c r="A54" s="2" t="s">
        <v>166</v>
      </c>
      <c r="B54" s="9" t="s">
        <v>183</v>
      </c>
      <c r="C54" s="2" t="s">
        <v>131</v>
      </c>
      <c r="D54" s="30" t="s">
        <v>175</v>
      </c>
    </row>
    <row x14ac:dyDescent="0.25" r="55" customHeight="1" ht="18.75">
      <c r="A55" s="2" t="s">
        <v>166</v>
      </c>
      <c r="B55" s="9" t="s">
        <v>186</v>
      </c>
      <c r="C55" s="2" t="s">
        <v>70</v>
      </c>
      <c r="D55" s="30" t="s">
        <v>154</v>
      </c>
    </row>
    <row x14ac:dyDescent="0.25" r="56" customHeight="1" ht="18.75">
      <c r="A56" s="2" t="s">
        <v>166</v>
      </c>
      <c r="B56" s="9" t="s">
        <v>183</v>
      </c>
      <c r="C56" s="2" t="s">
        <v>195</v>
      </c>
      <c r="D56" s="30" t="s">
        <v>173</v>
      </c>
    </row>
    <row x14ac:dyDescent="0.25" r="57" customHeight="1" ht="18.75">
      <c r="A57" s="2" t="s">
        <v>166</v>
      </c>
      <c r="B57" s="9" t="s">
        <v>168</v>
      </c>
      <c r="C57" s="2" t="s">
        <v>25</v>
      </c>
      <c r="D57" s="30" t="s">
        <v>154</v>
      </c>
    </row>
    <row x14ac:dyDescent="0.25" r="58" customHeight="1" ht="18.75">
      <c r="A58" s="2" t="s">
        <v>166</v>
      </c>
      <c r="B58" s="9" t="s">
        <v>185</v>
      </c>
      <c r="C58" s="2" t="s">
        <v>196</v>
      </c>
      <c r="D58" s="30" t="s">
        <v>173</v>
      </c>
    </row>
    <row x14ac:dyDescent="0.25" r="59" customHeight="1" ht="18.75">
      <c r="A59" s="2" t="s">
        <v>166</v>
      </c>
      <c r="B59" s="9" t="s">
        <v>197</v>
      </c>
      <c r="C59" s="2" t="s">
        <v>119</v>
      </c>
      <c r="D59" s="30" t="s">
        <v>154</v>
      </c>
    </row>
    <row x14ac:dyDescent="0.25" r="60" customHeight="1" ht="18.75">
      <c r="A60" s="2" t="s">
        <v>166</v>
      </c>
      <c r="B60" s="9" t="s">
        <v>169</v>
      </c>
      <c r="C60" s="2" t="s">
        <v>198</v>
      </c>
      <c r="D60" s="30" t="s">
        <v>173</v>
      </c>
    </row>
    <row x14ac:dyDescent="0.25" r="61" customHeight="1" ht="18.75">
      <c r="A61" s="2" t="s">
        <v>166</v>
      </c>
      <c r="B61" s="9" t="s">
        <v>176</v>
      </c>
      <c r="C61" s="2" t="s">
        <v>199</v>
      </c>
      <c r="D61" s="30" t="s">
        <v>173</v>
      </c>
    </row>
    <row x14ac:dyDescent="0.25" r="62" customHeight="1" ht="18.75">
      <c r="A62" s="2" t="s">
        <v>166</v>
      </c>
      <c r="B62" s="9" t="s">
        <v>170</v>
      </c>
      <c r="C62" s="2" t="s">
        <v>200</v>
      </c>
      <c r="D62" s="30" t="s">
        <v>173</v>
      </c>
    </row>
    <row x14ac:dyDescent="0.25" r="63" customHeight="1" ht="18.75">
      <c r="A63" s="2" t="s">
        <v>166</v>
      </c>
      <c r="B63" s="9" t="s">
        <v>176</v>
      </c>
      <c r="C63" s="2" t="s">
        <v>201</v>
      </c>
      <c r="D63" s="30" t="s">
        <v>173</v>
      </c>
    </row>
    <row x14ac:dyDescent="0.25" r="64" customHeight="1" ht="18.75">
      <c r="A64" s="2" t="s">
        <v>166</v>
      </c>
      <c r="B64" s="9" t="s">
        <v>167</v>
      </c>
      <c r="C64" s="2" t="s">
        <v>64</v>
      </c>
      <c r="D64" s="30" t="s">
        <v>154</v>
      </c>
    </row>
    <row x14ac:dyDescent="0.25" r="65" customHeight="1" ht="18.75">
      <c r="A65" s="2" t="s">
        <v>166</v>
      </c>
      <c r="B65" s="9" t="s">
        <v>184</v>
      </c>
      <c r="C65" s="2" t="s">
        <v>47</v>
      </c>
      <c r="D65" s="30" t="s">
        <v>154</v>
      </c>
    </row>
    <row x14ac:dyDescent="0.25" r="66" customHeight="1" ht="18.75">
      <c r="A66" s="2" t="s">
        <v>166</v>
      </c>
      <c r="B66" s="9" t="s">
        <v>184</v>
      </c>
      <c r="C66" s="2" t="s">
        <v>202</v>
      </c>
      <c r="D66" s="30" t="s">
        <v>173</v>
      </c>
    </row>
    <row x14ac:dyDescent="0.25" r="67" customHeight="1" ht="18.75">
      <c r="A67" s="2" t="s">
        <v>166</v>
      </c>
      <c r="B67" s="9" t="s">
        <v>183</v>
      </c>
      <c r="C67" s="2" t="s">
        <v>132</v>
      </c>
      <c r="D67" s="30" t="s">
        <v>175</v>
      </c>
    </row>
    <row x14ac:dyDescent="0.25" r="68" customHeight="1" ht="18.75">
      <c r="A68" s="2" t="s">
        <v>166</v>
      </c>
      <c r="B68" s="9" t="s">
        <v>171</v>
      </c>
      <c r="C68" s="2" t="s">
        <v>203</v>
      </c>
      <c r="D68" s="30" t="s">
        <v>173</v>
      </c>
    </row>
    <row x14ac:dyDescent="0.25" r="69" customHeight="1" ht="18.75">
      <c r="A69" s="2" t="s">
        <v>166</v>
      </c>
      <c r="B69" s="9" t="s">
        <v>204</v>
      </c>
      <c r="C69" s="2" t="s">
        <v>205</v>
      </c>
      <c r="D69" s="30" t="s">
        <v>173</v>
      </c>
    </row>
    <row x14ac:dyDescent="0.25" r="70" customHeight="1" ht="18.75">
      <c r="A70" s="2" t="s">
        <v>166</v>
      </c>
      <c r="B70" s="9" t="s">
        <v>183</v>
      </c>
      <c r="C70" s="2" t="s">
        <v>88</v>
      </c>
      <c r="D70" s="30" t="s">
        <v>154</v>
      </c>
    </row>
    <row x14ac:dyDescent="0.25" r="71" customHeight="1" ht="18.75">
      <c r="A71" s="2" t="s">
        <v>166</v>
      </c>
      <c r="B71" s="9" t="s">
        <v>170</v>
      </c>
      <c r="C71" s="2" t="s">
        <v>134</v>
      </c>
      <c r="D71" s="30" t="s">
        <v>155</v>
      </c>
    </row>
    <row x14ac:dyDescent="0.25" r="72" customHeight="1" ht="18.75">
      <c r="A72" s="2" t="s">
        <v>166</v>
      </c>
      <c r="B72" s="9" t="s">
        <v>187</v>
      </c>
      <c r="C72" s="2" t="s">
        <v>29</v>
      </c>
      <c r="D72" s="30" t="s">
        <v>154</v>
      </c>
    </row>
    <row x14ac:dyDescent="0.25" r="73" customHeight="1" ht="18.75">
      <c r="A73" s="2" t="s">
        <v>166</v>
      </c>
      <c r="B73" s="9" t="s">
        <v>183</v>
      </c>
      <c r="C73" s="2" t="s">
        <v>133</v>
      </c>
      <c r="D73" s="30" t="s">
        <v>175</v>
      </c>
    </row>
    <row x14ac:dyDescent="0.25" r="74" customHeight="1" ht="18.75">
      <c r="A74" s="2" t="s">
        <v>166</v>
      </c>
      <c r="B74" s="9" t="s">
        <v>174</v>
      </c>
      <c r="C74" s="2" t="s">
        <v>40</v>
      </c>
      <c r="D74" s="30" t="s">
        <v>154</v>
      </c>
    </row>
    <row x14ac:dyDescent="0.25" r="75" customHeight="1" ht="18.75">
      <c r="A75" s="2" t="s">
        <v>166</v>
      </c>
      <c r="B75" s="9" t="s">
        <v>168</v>
      </c>
      <c r="C75" s="2" t="s">
        <v>206</v>
      </c>
      <c r="D75" s="30" t="s">
        <v>173</v>
      </c>
    </row>
    <row x14ac:dyDescent="0.25" r="76" customHeight="1" ht="18.75">
      <c r="A76" s="2" t="s">
        <v>166</v>
      </c>
      <c r="B76" s="9" t="s">
        <v>170</v>
      </c>
      <c r="C76" s="2" t="s">
        <v>102</v>
      </c>
      <c r="D76" s="30" t="s">
        <v>154</v>
      </c>
    </row>
    <row x14ac:dyDescent="0.25" r="77" customHeight="1" ht="18.75">
      <c r="A77" s="2" t="s">
        <v>166</v>
      </c>
      <c r="B77" s="9" t="s">
        <v>170</v>
      </c>
      <c r="C77" s="2" t="s">
        <v>103</v>
      </c>
      <c r="D77" s="30" t="s">
        <v>154</v>
      </c>
    </row>
    <row x14ac:dyDescent="0.25" r="78" customHeight="1" ht="18.75">
      <c r="A78" s="2" t="s">
        <v>166</v>
      </c>
      <c r="B78" s="9" t="s">
        <v>183</v>
      </c>
      <c r="C78" s="2" t="s">
        <v>207</v>
      </c>
      <c r="D78" s="30" t="s">
        <v>173</v>
      </c>
    </row>
    <row x14ac:dyDescent="0.25" r="79" customHeight="1" ht="18.75">
      <c r="A79" s="2" t="s">
        <v>166</v>
      </c>
      <c r="B79" s="9" t="s">
        <v>167</v>
      </c>
      <c r="C79" s="2" t="s">
        <v>65</v>
      </c>
      <c r="D79" s="30" t="s">
        <v>154</v>
      </c>
    </row>
    <row x14ac:dyDescent="0.25" r="80" customHeight="1" ht="18.75">
      <c r="A80" s="2" t="s">
        <v>166</v>
      </c>
      <c r="B80" s="9" t="s">
        <v>185</v>
      </c>
      <c r="C80" s="2" t="s">
        <v>33</v>
      </c>
      <c r="D80" s="30" t="s">
        <v>154</v>
      </c>
    </row>
    <row x14ac:dyDescent="0.25" r="81" customHeight="1" ht="18.75">
      <c r="A81" s="2" t="s">
        <v>166</v>
      </c>
      <c r="B81" s="9" t="s">
        <v>170</v>
      </c>
      <c r="C81" s="2" t="s">
        <v>104</v>
      </c>
      <c r="D81" s="30" t="s">
        <v>154</v>
      </c>
    </row>
    <row x14ac:dyDescent="0.25" r="82" customHeight="1" ht="18.75">
      <c r="A82" s="2" t="s">
        <v>166</v>
      </c>
      <c r="B82" s="9" t="s">
        <v>174</v>
      </c>
      <c r="C82" s="2" t="s">
        <v>41</v>
      </c>
      <c r="D82" s="30" t="s">
        <v>154</v>
      </c>
    </row>
    <row x14ac:dyDescent="0.25" r="83" customHeight="1" ht="18.75">
      <c r="A83" s="2" t="s">
        <v>166</v>
      </c>
      <c r="B83" s="9" t="s">
        <v>183</v>
      </c>
      <c r="C83" s="2" t="s">
        <v>89</v>
      </c>
      <c r="D83" s="30" t="s">
        <v>153</v>
      </c>
    </row>
    <row x14ac:dyDescent="0.25" r="84" customHeight="1" ht="18.75">
      <c r="A84" s="2" t="s">
        <v>166</v>
      </c>
      <c r="B84" s="9" t="s">
        <v>184</v>
      </c>
      <c r="C84" s="2" t="s">
        <v>48</v>
      </c>
      <c r="D84" s="30" t="s">
        <v>154</v>
      </c>
    </row>
    <row x14ac:dyDescent="0.25" r="85" customHeight="1" ht="18.75">
      <c r="A85" s="2" t="s">
        <v>166</v>
      </c>
      <c r="B85" s="9" t="s">
        <v>170</v>
      </c>
      <c r="C85" s="2" t="s">
        <v>105</v>
      </c>
      <c r="D85" s="30" t="s">
        <v>154</v>
      </c>
    </row>
    <row x14ac:dyDescent="0.25" r="86" customHeight="1" ht="18.75">
      <c r="A86" s="2" t="s">
        <v>166</v>
      </c>
      <c r="B86" s="9" t="s">
        <v>176</v>
      </c>
      <c r="C86" s="2" t="s">
        <v>117</v>
      </c>
      <c r="D86" s="30" t="s">
        <v>154</v>
      </c>
    </row>
    <row x14ac:dyDescent="0.25" r="87" customHeight="1" ht="18.75">
      <c r="A87" s="2" t="s">
        <v>166</v>
      </c>
      <c r="B87" s="9" t="s">
        <v>183</v>
      </c>
      <c r="C87" s="2" t="s">
        <v>90</v>
      </c>
      <c r="D87" s="30" t="s">
        <v>154</v>
      </c>
    </row>
    <row x14ac:dyDescent="0.25" r="88" customHeight="1" ht="18.75">
      <c r="A88" s="2" t="s">
        <v>166</v>
      </c>
      <c r="B88" s="9" t="s">
        <v>183</v>
      </c>
      <c r="C88" s="2" t="s">
        <v>91</v>
      </c>
      <c r="D88" s="30" t="s">
        <v>208</v>
      </c>
    </row>
    <row x14ac:dyDescent="0.25" r="89" customHeight="1" ht="18.75">
      <c r="A89" s="2" t="s">
        <v>166</v>
      </c>
      <c r="B89" s="9" t="s">
        <v>170</v>
      </c>
      <c r="C89" s="2" t="s">
        <v>136</v>
      </c>
      <c r="D89" s="30" t="s">
        <v>173</v>
      </c>
    </row>
    <row x14ac:dyDescent="0.25" r="90" customHeight="1" ht="18.75">
      <c r="A90" s="2" t="s">
        <v>166</v>
      </c>
      <c r="B90" s="9" t="s">
        <v>167</v>
      </c>
      <c r="C90" s="2" t="s">
        <v>66</v>
      </c>
      <c r="D90" s="30" t="s">
        <v>209</v>
      </c>
    </row>
    <row x14ac:dyDescent="0.25" r="91" customHeight="1" ht="18.75">
      <c r="A91" s="2" t="s">
        <v>166</v>
      </c>
      <c r="B91" s="9" t="s">
        <v>183</v>
      </c>
      <c r="C91" s="2" t="s">
        <v>92</v>
      </c>
      <c r="D91" s="30" t="s">
        <v>209</v>
      </c>
    </row>
    <row x14ac:dyDescent="0.25" r="92" customHeight="1" ht="18.75">
      <c r="A92" s="2" t="s">
        <v>166</v>
      </c>
      <c r="B92" s="3" t="s">
        <v>170</v>
      </c>
      <c r="C92" s="2" t="s">
        <v>106</v>
      </c>
      <c r="D92" s="30" t="s">
        <v>209</v>
      </c>
    </row>
    <row x14ac:dyDescent="0.25" r="93" customHeight="1" ht="18.75">
      <c r="A93" s="2" t="s">
        <v>166</v>
      </c>
      <c r="B93" s="3" t="s">
        <v>174</v>
      </c>
      <c r="C93" s="2" t="s">
        <v>42</v>
      </c>
      <c r="D93" s="30" t="s">
        <v>209</v>
      </c>
    </row>
    <row x14ac:dyDescent="0.25" r="94" customHeight="1" ht="18.75">
      <c r="A94" s="2" t="s">
        <v>166</v>
      </c>
      <c r="B94" s="3" t="s">
        <v>185</v>
      </c>
      <c r="C94" s="2" t="s">
        <v>35</v>
      </c>
      <c r="D94" s="30" t="s">
        <v>209</v>
      </c>
    </row>
    <row x14ac:dyDescent="0.25" r="95" customHeight="1" ht="18.75">
      <c r="A95" s="2" t="s">
        <v>166</v>
      </c>
      <c r="B95" s="3" t="s">
        <v>183</v>
      </c>
      <c r="C95" s="2" t="s">
        <v>93</v>
      </c>
      <c r="D95" s="30" t="s">
        <v>209</v>
      </c>
    </row>
    <row x14ac:dyDescent="0.25" r="96" customHeight="1" ht="18.75">
      <c r="A96" s="2" t="s">
        <v>166</v>
      </c>
      <c r="B96" s="3" t="s">
        <v>184</v>
      </c>
      <c r="C96" s="2" t="s">
        <v>210</v>
      </c>
      <c r="D96" s="30" t="s">
        <v>173</v>
      </c>
    </row>
    <row x14ac:dyDescent="0.25" r="97" customHeight="1" ht="18.75">
      <c r="A97" s="2" t="s">
        <v>166</v>
      </c>
      <c r="B97" s="9" t="s">
        <v>176</v>
      </c>
      <c r="C97" s="2" t="s">
        <v>211</v>
      </c>
      <c r="D97" s="30" t="s">
        <v>173</v>
      </c>
    </row>
    <row x14ac:dyDescent="0.25" r="98" customHeight="1" ht="18.75">
      <c r="A98" s="2" t="s">
        <v>166</v>
      </c>
      <c r="B98" s="9" t="s">
        <v>171</v>
      </c>
      <c r="C98" s="2" t="s">
        <v>82</v>
      </c>
      <c r="D98" s="30" t="s">
        <v>154</v>
      </c>
    </row>
    <row x14ac:dyDescent="0.25" r="99" customHeight="1" ht="18.75">
      <c r="A99" s="2" t="s">
        <v>166</v>
      </c>
      <c r="B99" s="9" t="s">
        <v>189</v>
      </c>
      <c r="C99" s="2" t="s">
        <v>212</v>
      </c>
      <c r="D99" s="30" t="s">
        <v>173</v>
      </c>
    </row>
    <row x14ac:dyDescent="0.25" r="100" customHeight="1" ht="18.75">
      <c r="A100" s="2" t="s">
        <v>166</v>
      </c>
      <c r="B100" s="9" t="s">
        <v>192</v>
      </c>
      <c r="C100" s="2" t="s">
        <v>213</v>
      </c>
      <c r="D100" s="30" t="s">
        <v>173</v>
      </c>
    </row>
    <row x14ac:dyDescent="0.25" r="101" customHeight="1" ht="18.75">
      <c r="A101" s="2" t="s">
        <v>166</v>
      </c>
      <c r="B101" s="9" t="s">
        <v>180</v>
      </c>
      <c r="C101" s="2" t="s">
        <v>53</v>
      </c>
      <c r="D101" s="30" t="s">
        <v>154</v>
      </c>
    </row>
    <row x14ac:dyDescent="0.25" r="102" customHeight="1" ht="18.75">
      <c r="A102" s="2" t="s">
        <v>166</v>
      </c>
      <c r="B102" s="9" t="s">
        <v>192</v>
      </c>
      <c r="C102" s="2" t="s">
        <v>214</v>
      </c>
      <c r="D102" s="30" t="s">
        <v>173</v>
      </c>
    </row>
    <row x14ac:dyDescent="0.25" r="103" customHeight="1" ht="18.75">
      <c r="A103" s="2" t="s">
        <v>166</v>
      </c>
      <c r="B103" s="9" t="s">
        <v>183</v>
      </c>
      <c r="C103" s="2" t="s">
        <v>94</v>
      </c>
      <c r="D103" s="30" t="s">
        <v>154</v>
      </c>
    </row>
    <row x14ac:dyDescent="0.25" r="104" customHeight="1" ht="18.75">
      <c r="A104" s="2" t="s">
        <v>166</v>
      </c>
      <c r="B104" s="9" t="s">
        <v>180</v>
      </c>
      <c r="C104" s="2" t="s">
        <v>54</v>
      </c>
      <c r="D104" s="30" t="s">
        <v>154</v>
      </c>
    </row>
    <row x14ac:dyDescent="0.25" r="105" customHeight="1" ht="18.75">
      <c r="A105" s="2" t="s">
        <v>166</v>
      </c>
      <c r="B105" s="9" t="s">
        <v>183</v>
      </c>
      <c r="C105" s="2" t="s">
        <v>95</v>
      </c>
      <c r="D105" s="30" t="s">
        <v>154</v>
      </c>
    </row>
    <row x14ac:dyDescent="0.25" r="106" customHeight="1" ht="18.75">
      <c r="A106" s="2" t="s">
        <v>166</v>
      </c>
      <c r="B106" s="9" t="s">
        <v>171</v>
      </c>
      <c r="C106" s="2" t="s">
        <v>130</v>
      </c>
      <c r="D106" s="30" t="s">
        <v>175</v>
      </c>
    </row>
    <row x14ac:dyDescent="0.25" r="107" customHeight="1" ht="18.75">
      <c r="A107" s="2" t="s">
        <v>166</v>
      </c>
      <c r="B107" s="9" t="s">
        <v>184</v>
      </c>
      <c r="C107" s="2" t="s">
        <v>215</v>
      </c>
      <c r="D107" s="30" t="s">
        <v>173</v>
      </c>
    </row>
    <row x14ac:dyDescent="0.25" r="108" customHeight="1" ht="18.75">
      <c r="A108" s="2" t="s">
        <v>166</v>
      </c>
      <c r="B108" s="9" t="s">
        <v>169</v>
      </c>
      <c r="C108" s="2" t="s">
        <v>76</v>
      </c>
      <c r="D108" s="30" t="s">
        <v>154</v>
      </c>
    </row>
    <row x14ac:dyDescent="0.25" r="109" customHeight="1" ht="18.75">
      <c r="A109" s="2" t="s">
        <v>166</v>
      </c>
      <c r="B109" s="9" t="s">
        <v>174</v>
      </c>
      <c r="C109" s="2" t="s">
        <v>44</v>
      </c>
      <c r="D109" s="30" t="s">
        <v>154</v>
      </c>
    </row>
    <row x14ac:dyDescent="0.25" r="110" customHeight="1" ht="18.75">
      <c r="A110" s="2" t="s">
        <v>166</v>
      </c>
      <c r="B110" s="9" t="s">
        <v>170</v>
      </c>
      <c r="C110" s="2" t="s">
        <v>108</v>
      </c>
      <c r="D110" s="30" t="s">
        <v>154</v>
      </c>
    </row>
    <row x14ac:dyDescent="0.25" r="111" customHeight="1" ht="18.75">
      <c r="A111" s="2" t="s">
        <v>166</v>
      </c>
      <c r="B111" s="9" t="s">
        <v>170</v>
      </c>
      <c r="C111" s="2" t="s">
        <v>109</v>
      </c>
      <c r="D111" s="30" t="s">
        <v>154</v>
      </c>
    </row>
    <row x14ac:dyDescent="0.25" r="112" customHeight="1" ht="18.75">
      <c r="A112" s="2" t="s">
        <v>166</v>
      </c>
      <c r="B112" s="9" t="s">
        <v>170</v>
      </c>
      <c r="C112" s="31" t="s">
        <v>216</v>
      </c>
      <c r="D112" s="30" t="s">
        <v>173</v>
      </c>
    </row>
    <row x14ac:dyDescent="0.25" r="113" customHeight="1" ht="18.75">
      <c r="A113" s="2" t="s">
        <v>166</v>
      </c>
      <c r="B113" s="9" t="s">
        <v>170</v>
      </c>
      <c r="C113" s="31" t="s">
        <v>135</v>
      </c>
      <c r="D113" s="30" t="s">
        <v>208</v>
      </c>
    </row>
    <row x14ac:dyDescent="0.25" r="114" customHeight="1" ht="18.75">
      <c r="A114" s="2" t="s">
        <v>166</v>
      </c>
      <c r="B114" s="9" t="s">
        <v>185</v>
      </c>
      <c r="C114" s="31" t="s">
        <v>217</v>
      </c>
      <c r="D114" s="30" t="s">
        <v>173</v>
      </c>
    </row>
    <row x14ac:dyDescent="0.25" r="115" customHeight="1" ht="18.75">
      <c r="A115" s="2" t="s">
        <v>166</v>
      </c>
      <c r="B115" s="9" t="s">
        <v>185</v>
      </c>
      <c r="C115" s="31" t="s">
        <v>34</v>
      </c>
      <c r="D115" s="30" t="s">
        <v>154</v>
      </c>
    </row>
    <row x14ac:dyDescent="0.25" r="116" customHeight="1" ht="18.75">
      <c r="A116" s="2" t="s">
        <v>166</v>
      </c>
      <c r="B116" s="9" t="s">
        <v>218</v>
      </c>
      <c r="C116" s="31" t="s">
        <v>114</v>
      </c>
      <c r="D116" s="30" t="s">
        <v>154</v>
      </c>
    </row>
    <row x14ac:dyDescent="0.25" r="117" customHeight="1" ht="18.75">
      <c r="A117" s="2" t="s">
        <v>166</v>
      </c>
      <c r="B117" s="3" t="s">
        <v>174</v>
      </c>
      <c r="C117" s="31" t="s">
        <v>219</v>
      </c>
      <c r="D117" s="30" t="s">
        <v>173</v>
      </c>
    </row>
    <row x14ac:dyDescent="0.25" r="118" customHeight="1" ht="18.75">
      <c r="A118" s="2" t="s">
        <v>166</v>
      </c>
      <c r="B118" s="3" t="s">
        <v>174</v>
      </c>
      <c r="C118" s="31" t="s">
        <v>43</v>
      </c>
      <c r="D118" s="30" t="s">
        <v>209</v>
      </c>
    </row>
    <row x14ac:dyDescent="0.25" r="119" customHeight="1" ht="18.75">
      <c r="A119" s="2" t="s">
        <v>166</v>
      </c>
      <c r="B119" s="3" t="s">
        <v>171</v>
      </c>
      <c r="C119" s="31" t="s">
        <v>220</v>
      </c>
      <c r="D119" s="30" t="s">
        <v>173</v>
      </c>
    </row>
    <row x14ac:dyDescent="0.25" r="120" customHeight="1" ht="18.75">
      <c r="A120" s="2" t="s">
        <v>166</v>
      </c>
      <c r="B120" s="3" t="s">
        <v>171</v>
      </c>
      <c r="C120" s="31" t="s">
        <v>81</v>
      </c>
      <c r="D120" s="30" t="s">
        <v>209</v>
      </c>
    </row>
    <row x14ac:dyDescent="0.25" r="121" customHeight="1" ht="18.75">
      <c r="A121" s="2" t="s">
        <v>166</v>
      </c>
      <c r="B121" s="3" t="s">
        <v>180</v>
      </c>
      <c r="C121" s="31" t="s">
        <v>221</v>
      </c>
      <c r="D121" s="30" t="s">
        <v>173</v>
      </c>
    </row>
    <row x14ac:dyDescent="0.25" r="122" customHeight="1" ht="18.75">
      <c r="A122" s="2" t="s">
        <v>166</v>
      </c>
      <c r="B122" s="3" t="s">
        <v>180</v>
      </c>
      <c r="C122" s="31" t="s">
        <v>52</v>
      </c>
      <c r="D122" s="30" t="s">
        <v>222</v>
      </c>
    </row>
    <row x14ac:dyDescent="0.25" r="123" customHeight="1" ht="18.75">
      <c r="A123" s="2" t="s">
        <v>166</v>
      </c>
      <c r="B123" s="3" t="s">
        <v>189</v>
      </c>
      <c r="C123" s="31" t="s">
        <v>223</v>
      </c>
      <c r="D123" s="30" t="s">
        <v>173</v>
      </c>
    </row>
    <row x14ac:dyDescent="0.25" r="124" customHeight="1" ht="18.75">
      <c r="A124" s="2" t="s">
        <v>166</v>
      </c>
      <c r="B124" s="3" t="s">
        <v>189</v>
      </c>
      <c r="C124" s="31" t="s">
        <v>59</v>
      </c>
      <c r="D124" s="30" t="s">
        <v>209</v>
      </c>
    </row>
    <row x14ac:dyDescent="0.25" r="125" customHeight="1" ht="18.75">
      <c r="A125" s="2" t="s">
        <v>166</v>
      </c>
      <c r="B125" s="3" t="s">
        <v>184</v>
      </c>
      <c r="C125" s="31" t="s">
        <v>224</v>
      </c>
      <c r="D125" s="30" t="s">
        <v>173</v>
      </c>
    </row>
    <row x14ac:dyDescent="0.25" r="126" customHeight="1" ht="18.75">
      <c r="A126" s="2" t="s">
        <v>166</v>
      </c>
      <c r="B126" s="3" t="s">
        <v>184</v>
      </c>
      <c r="C126" s="31" t="s">
        <v>49</v>
      </c>
      <c r="D126" s="30" t="s">
        <v>209</v>
      </c>
    </row>
    <row x14ac:dyDescent="0.25" r="127" customHeight="1" ht="18.75">
      <c r="A127" s="2" t="s">
        <v>166</v>
      </c>
      <c r="B127" s="3" t="s">
        <v>170</v>
      </c>
      <c r="C127" s="31" t="s">
        <v>225</v>
      </c>
      <c r="D127" s="30" t="s">
        <v>152</v>
      </c>
    </row>
    <row x14ac:dyDescent="0.25" r="128" customHeight="1" ht="18.75">
      <c r="A128" s="2" t="s">
        <v>166</v>
      </c>
      <c r="B128" s="32" t="s">
        <v>170</v>
      </c>
      <c r="C128" s="2" t="s">
        <v>226</v>
      </c>
      <c r="D128" s="30" t="s">
        <v>173</v>
      </c>
    </row>
    <row x14ac:dyDescent="0.25" r="129" customHeight="1" ht="18.75">
      <c r="A129" s="2" t="s">
        <v>166</v>
      </c>
      <c r="B129" s="9" t="s">
        <v>174</v>
      </c>
      <c r="C129" s="2" t="s">
        <v>78</v>
      </c>
      <c r="D129" s="30" t="s">
        <v>173</v>
      </c>
    </row>
    <row x14ac:dyDescent="0.25" r="130" customHeight="1" ht="18.75">
      <c r="A130" s="2" t="s">
        <v>166</v>
      </c>
      <c r="B130" s="9" t="s">
        <v>183</v>
      </c>
      <c r="C130" s="2" t="s">
        <v>78</v>
      </c>
      <c r="D130" s="30" t="s">
        <v>227</v>
      </c>
    </row>
    <row x14ac:dyDescent="0.25" r="131" customHeight="1" ht="18.75">
      <c r="A131" s="2" t="s">
        <v>166</v>
      </c>
      <c r="B131" s="9" t="s">
        <v>171</v>
      </c>
      <c r="C131" s="2" t="s">
        <v>78</v>
      </c>
      <c r="D131" s="30" t="s">
        <v>154</v>
      </c>
    </row>
    <row x14ac:dyDescent="0.25" r="132" customHeight="1" ht="18.75">
      <c r="A132" s="2" t="s">
        <v>166</v>
      </c>
      <c r="B132" s="9" t="s">
        <v>170</v>
      </c>
      <c r="C132" s="2" t="s">
        <v>99</v>
      </c>
      <c r="D132" s="30" t="s">
        <v>154</v>
      </c>
    </row>
    <row x14ac:dyDescent="0.25" r="133" customHeight="1" ht="18.75">
      <c r="A133" s="2" t="s">
        <v>166</v>
      </c>
      <c r="B133" s="9" t="s">
        <v>186</v>
      </c>
      <c r="C133" s="2" t="s">
        <v>80</v>
      </c>
      <c r="D133" s="30" t="s">
        <v>173</v>
      </c>
    </row>
    <row x14ac:dyDescent="0.25" r="134" customHeight="1" ht="18.75">
      <c r="A134" s="2" t="s">
        <v>166</v>
      </c>
      <c r="B134" s="9" t="s">
        <v>171</v>
      </c>
      <c r="C134" s="2" t="s">
        <v>80</v>
      </c>
      <c r="D134" s="30" t="s">
        <v>154</v>
      </c>
    </row>
    <row x14ac:dyDescent="0.25" r="135" customHeight="1" ht="18.75">
      <c r="A135" s="2" t="s">
        <v>166</v>
      </c>
      <c r="B135" s="9" t="s">
        <v>183</v>
      </c>
      <c r="C135" s="2" t="s">
        <v>87</v>
      </c>
      <c r="D135" s="30" t="s">
        <v>154</v>
      </c>
    </row>
    <row x14ac:dyDescent="0.25" r="136" customHeight="1" ht="18.75">
      <c r="A136" s="2" t="s">
        <v>166</v>
      </c>
      <c r="B136" s="9" t="s">
        <v>186</v>
      </c>
      <c r="C136" s="2" t="s">
        <v>71</v>
      </c>
      <c r="D136" s="30" t="s">
        <v>154</v>
      </c>
    </row>
    <row x14ac:dyDescent="0.25" r="137" customHeight="1" ht="18.75">
      <c r="A137" s="2" t="s">
        <v>166</v>
      </c>
      <c r="B137" s="9" t="s">
        <v>168</v>
      </c>
      <c r="C137" s="2" t="s">
        <v>107</v>
      </c>
      <c r="D137" s="30" t="s">
        <v>173</v>
      </c>
    </row>
    <row x14ac:dyDescent="0.25" r="138" customHeight="1" ht="18.75">
      <c r="A138" s="2" t="s">
        <v>166</v>
      </c>
      <c r="B138" s="9" t="s">
        <v>170</v>
      </c>
      <c r="C138" s="2" t="s">
        <v>107</v>
      </c>
      <c r="D138" s="30" t="s">
        <v>208</v>
      </c>
    </row>
    <row x14ac:dyDescent="0.25" r="139" customHeight="1" ht="18.75">
      <c r="A139" s="2" t="s">
        <v>166</v>
      </c>
      <c r="B139" s="9" t="s">
        <v>185</v>
      </c>
      <c r="C139" s="2" t="s">
        <v>55</v>
      </c>
      <c r="D139" s="30" t="s">
        <v>227</v>
      </c>
    </row>
    <row x14ac:dyDescent="0.25" r="140" customHeight="1" ht="18.75">
      <c r="A140" s="2" t="s">
        <v>166</v>
      </c>
      <c r="B140" s="9" t="s">
        <v>180</v>
      </c>
      <c r="C140" s="2" t="s">
        <v>55</v>
      </c>
      <c r="D140" s="30" t="s">
        <v>154</v>
      </c>
    </row>
    <row x14ac:dyDescent="0.25" r="141" customHeight="1" ht="18.75">
      <c r="A141" s="2" t="s">
        <v>166</v>
      </c>
      <c r="B141" s="3" t="s">
        <v>168</v>
      </c>
      <c r="C141" s="33" t="s">
        <v>228</v>
      </c>
      <c r="D141" s="30" t="s">
        <v>155</v>
      </c>
    </row>
    <row x14ac:dyDescent="0.25" r="142" customHeight="1" ht="18.75">
      <c r="A142" s="2" t="s">
        <v>166</v>
      </c>
      <c r="B142" s="9" t="s">
        <v>185</v>
      </c>
      <c r="C142" s="2" t="s">
        <v>228</v>
      </c>
      <c r="D142" s="30" t="s">
        <v>173</v>
      </c>
    </row>
    <row x14ac:dyDescent="0.25" r="143" customHeight="1" ht="18.75">
      <c r="A143" s="2" t="s">
        <v>166</v>
      </c>
      <c r="B143" s="9" t="s">
        <v>174</v>
      </c>
      <c r="C143" s="2" t="s">
        <v>228</v>
      </c>
      <c r="D143" s="30" t="s">
        <v>173</v>
      </c>
    </row>
    <row x14ac:dyDescent="0.25" r="144" customHeight="1" ht="18.75">
      <c r="A144" s="2" t="s">
        <v>166</v>
      </c>
      <c r="B144" s="9" t="s">
        <v>184</v>
      </c>
      <c r="C144" s="2" t="s">
        <v>228</v>
      </c>
      <c r="D144" s="30" t="s">
        <v>173</v>
      </c>
    </row>
    <row x14ac:dyDescent="0.25" r="145" customHeight="1" ht="18.75">
      <c r="A145" s="2" t="s">
        <v>166</v>
      </c>
      <c r="B145" s="3" t="s">
        <v>180</v>
      </c>
      <c r="C145" s="33" t="s">
        <v>228</v>
      </c>
      <c r="D145" s="30" t="s">
        <v>173</v>
      </c>
    </row>
    <row x14ac:dyDescent="0.25" r="146" customHeight="1" ht="18.75">
      <c r="A146" s="2" t="s">
        <v>166</v>
      </c>
      <c r="B146" s="9" t="s">
        <v>189</v>
      </c>
      <c r="C146" s="2" t="s">
        <v>228</v>
      </c>
      <c r="D146" s="30" t="s">
        <v>229</v>
      </c>
    </row>
    <row x14ac:dyDescent="0.25" r="147" customHeight="1" ht="18.75">
      <c r="A147" s="2" t="s">
        <v>166</v>
      </c>
      <c r="B147" s="9" t="s">
        <v>189</v>
      </c>
      <c r="C147" s="2" t="s">
        <v>230</v>
      </c>
      <c r="D147" s="30" t="s">
        <v>173</v>
      </c>
    </row>
    <row x14ac:dyDescent="0.25" r="148" customHeight="1" ht="18.75">
      <c r="A148" s="2" t="s">
        <v>166</v>
      </c>
      <c r="B148" s="3" t="s">
        <v>183</v>
      </c>
      <c r="C148" s="2" t="s">
        <v>228</v>
      </c>
      <c r="D148" s="30" t="s">
        <v>229</v>
      </c>
    </row>
    <row x14ac:dyDescent="0.25" r="149" customHeight="1" ht="18.75">
      <c r="A149" s="2" t="s">
        <v>166</v>
      </c>
      <c r="B149" s="9" t="s">
        <v>183</v>
      </c>
      <c r="C149" s="2" t="s">
        <v>231</v>
      </c>
      <c r="D149" s="30" t="s">
        <v>173</v>
      </c>
    </row>
    <row x14ac:dyDescent="0.25" r="150" customHeight="1" ht="18.75">
      <c r="A150" s="2" t="s">
        <v>166</v>
      </c>
      <c r="B150" s="9" t="s">
        <v>183</v>
      </c>
      <c r="C150" s="2" t="s">
        <v>232</v>
      </c>
      <c r="D150" s="30" t="s">
        <v>173</v>
      </c>
    </row>
    <row x14ac:dyDescent="0.25" r="151" customHeight="1" ht="18.75">
      <c r="A151" s="2" t="s">
        <v>166</v>
      </c>
      <c r="B151" s="9" t="s">
        <v>183</v>
      </c>
      <c r="C151" s="2" t="s">
        <v>233</v>
      </c>
      <c r="D151" s="30" t="s">
        <v>173</v>
      </c>
    </row>
    <row x14ac:dyDescent="0.25" r="152" customHeight="1" ht="18.75">
      <c r="A152" s="2" t="s">
        <v>166</v>
      </c>
      <c r="B152" s="9" t="s">
        <v>183</v>
      </c>
      <c r="C152" s="2" t="s">
        <v>234</v>
      </c>
      <c r="D152" s="30" t="s">
        <v>173</v>
      </c>
    </row>
    <row x14ac:dyDescent="0.25" r="153" customHeight="1" ht="18.75">
      <c r="A153" s="2" t="s">
        <v>166</v>
      </c>
      <c r="B153" s="3" t="s">
        <v>167</v>
      </c>
      <c r="C153" s="33" t="s">
        <v>228</v>
      </c>
      <c r="D153" s="30" t="s">
        <v>173</v>
      </c>
    </row>
    <row x14ac:dyDescent="0.25" r="154" customHeight="1" ht="18.75">
      <c r="A154" s="2" t="s">
        <v>166</v>
      </c>
      <c r="B154" s="9" t="s">
        <v>171</v>
      </c>
      <c r="C154" s="2" t="s">
        <v>228</v>
      </c>
      <c r="D154" s="30" t="s">
        <v>173</v>
      </c>
    </row>
    <row x14ac:dyDescent="0.25" r="155" customHeight="1" ht="18.75">
      <c r="A155" s="2" t="s">
        <v>166</v>
      </c>
      <c r="B155" s="9" t="s">
        <v>171</v>
      </c>
      <c r="C155" s="2" t="s">
        <v>231</v>
      </c>
      <c r="D155" s="30" t="s">
        <v>173</v>
      </c>
    </row>
    <row x14ac:dyDescent="0.25" r="156" customHeight="1" ht="18.75">
      <c r="A156" s="2" t="s">
        <v>166</v>
      </c>
      <c r="B156" s="9" t="s">
        <v>170</v>
      </c>
      <c r="C156" s="2" t="s">
        <v>228</v>
      </c>
      <c r="D156" s="30" t="s">
        <v>155</v>
      </c>
    </row>
    <row x14ac:dyDescent="0.25" r="157" customHeight="1" ht="18.75">
      <c r="A157" s="2" t="s">
        <v>166</v>
      </c>
      <c r="B157" s="9" t="s">
        <v>170</v>
      </c>
      <c r="C157" s="2" t="s">
        <v>231</v>
      </c>
      <c r="D157" s="30" t="s">
        <v>173</v>
      </c>
    </row>
    <row x14ac:dyDescent="0.25" r="158" customHeight="1" ht="18.75">
      <c r="A158" s="2" t="s">
        <v>166</v>
      </c>
      <c r="B158" s="9" t="s">
        <v>176</v>
      </c>
      <c r="C158" s="2" t="s">
        <v>228</v>
      </c>
      <c r="D158" s="30" t="s">
        <v>173</v>
      </c>
    </row>
    <row x14ac:dyDescent="0.25" r="159" customHeight="1" ht="18.75">
      <c r="A159" s="2" t="s">
        <v>166</v>
      </c>
      <c r="B159" s="9" t="s">
        <v>176</v>
      </c>
      <c r="C159" s="2" t="s">
        <v>231</v>
      </c>
      <c r="D159" s="30" t="s">
        <v>173</v>
      </c>
    </row>
    <row x14ac:dyDescent="0.25" r="160" customHeight="1" ht="18.75">
      <c r="A160" s="2" t="s">
        <v>166</v>
      </c>
      <c r="B160" s="9" t="s">
        <v>176</v>
      </c>
      <c r="C160" s="2" t="s">
        <v>230</v>
      </c>
      <c r="D160" s="30" t="s">
        <v>173</v>
      </c>
    </row>
    <row x14ac:dyDescent="0.25" r="161" customHeight="1" ht="18.75">
      <c r="A161" s="2" t="s">
        <v>166</v>
      </c>
      <c r="B161" s="9" t="s">
        <v>218</v>
      </c>
      <c r="C161" s="2" t="s">
        <v>231</v>
      </c>
      <c r="D161" s="30" t="s">
        <v>173</v>
      </c>
    </row>
    <row x14ac:dyDescent="0.25" r="162" customHeight="1" ht="18.75">
      <c r="A162" s="27" t="s">
        <v>235</v>
      </c>
      <c r="B162" s="28"/>
      <c r="C162" s="28"/>
      <c r="D162" s="29"/>
    </row>
    <row x14ac:dyDescent="0.25" r="163" customHeight="1" ht="18.75">
      <c r="A163" s="2" t="s">
        <v>235</v>
      </c>
      <c r="B163" s="9" t="s">
        <v>236</v>
      </c>
      <c r="C163" s="34" t="s">
        <v>237</v>
      </c>
      <c r="D163" s="30" t="s">
        <v>173</v>
      </c>
    </row>
    <row x14ac:dyDescent="0.25" r="164" customHeight="1" ht="18.75">
      <c r="A164" s="2" t="s">
        <v>235</v>
      </c>
      <c r="B164" s="9" t="s">
        <v>238</v>
      </c>
      <c r="C164" s="34" t="s">
        <v>239</v>
      </c>
      <c r="D164" s="30" t="s">
        <v>173</v>
      </c>
    </row>
    <row x14ac:dyDescent="0.25" r="165" customHeight="1" ht="18.75">
      <c r="A165" s="2" t="s">
        <v>235</v>
      </c>
      <c r="B165" s="9" t="s">
        <v>236</v>
      </c>
      <c r="C165" s="34" t="s">
        <v>240</v>
      </c>
      <c r="D165" s="30" t="s">
        <v>173</v>
      </c>
    </row>
    <row x14ac:dyDescent="0.25" r="166" customHeight="1" ht="18.75">
      <c r="A166" s="2" t="s">
        <v>235</v>
      </c>
      <c r="B166" s="9" t="s">
        <v>236</v>
      </c>
      <c r="C166" s="34" t="s">
        <v>241</v>
      </c>
      <c r="D166" s="30" t="s">
        <v>173</v>
      </c>
    </row>
    <row x14ac:dyDescent="0.25" r="167" customHeight="1" ht="18.75">
      <c r="A167" s="2" t="s">
        <v>235</v>
      </c>
      <c r="B167" s="9" t="s">
        <v>236</v>
      </c>
      <c r="C167" s="34" t="s">
        <v>242</v>
      </c>
      <c r="D167" s="30" t="s">
        <v>173</v>
      </c>
    </row>
    <row x14ac:dyDescent="0.25" r="168" customHeight="1" ht="18.75">
      <c r="A168" s="2" t="s">
        <v>235</v>
      </c>
      <c r="B168" s="9" t="s">
        <v>236</v>
      </c>
      <c r="C168" s="34" t="s">
        <v>243</v>
      </c>
      <c r="D168" s="30" t="s">
        <v>173</v>
      </c>
    </row>
    <row x14ac:dyDescent="0.25" r="169" customHeight="1" ht="18.75">
      <c r="A169" s="2" t="s">
        <v>235</v>
      </c>
      <c r="B169" s="9" t="s">
        <v>236</v>
      </c>
      <c r="C169" s="34" t="s">
        <v>244</v>
      </c>
      <c r="D169" s="30" t="s">
        <v>173</v>
      </c>
    </row>
    <row x14ac:dyDescent="0.25" r="170" customHeight="1" ht="18.75">
      <c r="A170" s="2" t="s">
        <v>235</v>
      </c>
      <c r="B170" s="9" t="s">
        <v>236</v>
      </c>
      <c r="C170" s="34" t="s">
        <v>245</v>
      </c>
      <c r="D170" s="30" t="s">
        <v>173</v>
      </c>
    </row>
    <row x14ac:dyDescent="0.25" r="171" customHeight="1" ht="18.75">
      <c r="A171" s="2" t="s">
        <v>235</v>
      </c>
      <c r="B171" s="9" t="s">
        <v>238</v>
      </c>
      <c r="C171" s="34" t="s">
        <v>246</v>
      </c>
      <c r="D171" s="30" t="s">
        <v>173</v>
      </c>
    </row>
    <row x14ac:dyDescent="0.25" r="172" customHeight="1" ht="18.75">
      <c r="A172" s="2" t="s">
        <v>235</v>
      </c>
      <c r="B172" s="9" t="s">
        <v>236</v>
      </c>
      <c r="C172" s="34" t="s">
        <v>247</v>
      </c>
      <c r="D172" s="30" t="s">
        <v>173</v>
      </c>
    </row>
    <row x14ac:dyDescent="0.25" r="173" customHeight="1" ht="18.75">
      <c r="A173" s="2" t="s">
        <v>235</v>
      </c>
      <c r="B173" s="9" t="s">
        <v>236</v>
      </c>
      <c r="C173" s="34" t="s">
        <v>248</v>
      </c>
      <c r="D173" s="30" t="s">
        <v>173</v>
      </c>
    </row>
    <row x14ac:dyDescent="0.25" r="174" customHeight="1" ht="18.75">
      <c r="A174" s="2" t="s">
        <v>235</v>
      </c>
      <c r="B174" s="9" t="s">
        <v>236</v>
      </c>
      <c r="C174" s="34" t="s">
        <v>249</v>
      </c>
      <c r="D174" s="30" t="s">
        <v>173</v>
      </c>
    </row>
    <row x14ac:dyDescent="0.25" r="175" customHeight="1" ht="18.75">
      <c r="A175" s="2" t="s">
        <v>235</v>
      </c>
      <c r="B175" s="9" t="s">
        <v>236</v>
      </c>
      <c r="C175" s="34" t="s">
        <v>250</v>
      </c>
      <c r="D175" s="30" t="s">
        <v>173</v>
      </c>
    </row>
    <row x14ac:dyDescent="0.25" r="176" customHeight="1" ht="18.75">
      <c r="A176" s="2" t="s">
        <v>235</v>
      </c>
      <c r="B176" s="9" t="s">
        <v>238</v>
      </c>
      <c r="C176" s="34" t="s">
        <v>251</v>
      </c>
      <c r="D176" s="30" t="s">
        <v>173</v>
      </c>
    </row>
    <row x14ac:dyDescent="0.25" r="177" customHeight="1" ht="18.75">
      <c r="A177" s="2" t="s">
        <v>235</v>
      </c>
      <c r="B177" s="9" t="s">
        <v>236</v>
      </c>
      <c r="C177" s="34" t="s">
        <v>252</v>
      </c>
      <c r="D177" s="30" t="s">
        <v>173</v>
      </c>
    </row>
    <row x14ac:dyDescent="0.25" r="178" customHeight="1" ht="18.75">
      <c r="A178" s="2" t="s">
        <v>235</v>
      </c>
      <c r="B178" s="9" t="s">
        <v>236</v>
      </c>
      <c r="C178" s="34" t="s">
        <v>253</v>
      </c>
      <c r="D178" s="30" t="s">
        <v>173</v>
      </c>
    </row>
    <row x14ac:dyDescent="0.25" r="179" customHeight="1" ht="18.75">
      <c r="A179" s="2" t="s">
        <v>235</v>
      </c>
      <c r="B179" s="9" t="s">
        <v>236</v>
      </c>
      <c r="C179" s="34" t="s">
        <v>254</v>
      </c>
      <c r="D179" s="30" t="s">
        <v>173</v>
      </c>
    </row>
    <row x14ac:dyDescent="0.25" r="180" customHeight="1" ht="18.75">
      <c r="A180" s="2" t="s">
        <v>235</v>
      </c>
      <c r="B180" s="9" t="s">
        <v>236</v>
      </c>
      <c r="C180" s="34" t="s">
        <v>255</v>
      </c>
      <c r="D180" s="30" t="s">
        <v>173</v>
      </c>
    </row>
    <row x14ac:dyDescent="0.25" r="181" customHeight="1" ht="18.75">
      <c r="A181" s="2" t="s">
        <v>235</v>
      </c>
      <c r="B181" s="9" t="s">
        <v>236</v>
      </c>
      <c r="C181" s="34" t="s">
        <v>256</v>
      </c>
      <c r="D181" s="30" t="s">
        <v>173</v>
      </c>
    </row>
    <row x14ac:dyDescent="0.25" r="182" customHeight="1" ht="18.75">
      <c r="A182" s="2" t="s">
        <v>235</v>
      </c>
      <c r="B182" s="9" t="s">
        <v>236</v>
      </c>
      <c r="C182" s="2" t="s">
        <v>257</v>
      </c>
      <c r="D182" s="30" t="s">
        <v>208</v>
      </c>
    </row>
    <row x14ac:dyDescent="0.25" r="183" customHeight="1" ht="18.75">
      <c r="A183" s="2" t="s">
        <v>235</v>
      </c>
      <c r="B183" s="9" t="s">
        <v>236</v>
      </c>
      <c r="C183" s="34" t="s">
        <v>258</v>
      </c>
      <c r="D183" s="30" t="s">
        <v>173</v>
      </c>
    </row>
    <row x14ac:dyDescent="0.25" r="184" customHeight="1" ht="18.75">
      <c r="A184" s="2" t="s">
        <v>235</v>
      </c>
      <c r="B184" s="9" t="s">
        <v>236</v>
      </c>
      <c r="C184" s="2" t="s">
        <v>259</v>
      </c>
      <c r="D184" s="30" t="s">
        <v>173</v>
      </c>
    </row>
    <row x14ac:dyDescent="0.25" r="185" customHeight="1" ht="18.75">
      <c r="A185" s="2" t="s">
        <v>235</v>
      </c>
      <c r="B185" s="9" t="s">
        <v>236</v>
      </c>
      <c r="C185" s="2" t="s">
        <v>260</v>
      </c>
      <c r="D185" s="30" t="s">
        <v>261</v>
      </c>
    </row>
    <row x14ac:dyDescent="0.25" r="186" customHeight="1" ht="18.75">
      <c r="A186" s="2" t="s">
        <v>235</v>
      </c>
      <c r="B186" s="9" t="s">
        <v>236</v>
      </c>
      <c r="C186" s="2" t="s">
        <v>262</v>
      </c>
      <c r="D186" s="30" t="s">
        <v>208</v>
      </c>
    </row>
    <row x14ac:dyDescent="0.25" r="187" customHeight="1" ht="18.75">
      <c r="A187" s="2" t="s">
        <v>235</v>
      </c>
      <c r="B187" s="9" t="s">
        <v>236</v>
      </c>
      <c r="C187" s="2" t="s">
        <v>263</v>
      </c>
      <c r="D187" s="30" t="s">
        <v>173</v>
      </c>
    </row>
    <row x14ac:dyDescent="0.25" r="188" customHeight="1" ht="18.75">
      <c r="A188" s="2" t="s">
        <v>235</v>
      </c>
      <c r="B188" s="9" t="s">
        <v>236</v>
      </c>
      <c r="C188" s="2" t="s">
        <v>264</v>
      </c>
      <c r="D188" s="30" t="s">
        <v>208</v>
      </c>
    </row>
    <row x14ac:dyDescent="0.25" r="189" customHeight="1" ht="18.75">
      <c r="A189" s="2" t="s">
        <v>235</v>
      </c>
      <c r="B189" s="9" t="s">
        <v>236</v>
      </c>
      <c r="C189" s="2" t="s">
        <v>265</v>
      </c>
      <c r="D189" s="30" t="s">
        <v>173</v>
      </c>
    </row>
    <row x14ac:dyDescent="0.25" r="190" customHeight="1" ht="18.75">
      <c r="A190" s="2" t="s">
        <v>235</v>
      </c>
      <c r="B190" s="9" t="s">
        <v>236</v>
      </c>
      <c r="C190" s="34" t="s">
        <v>266</v>
      </c>
      <c r="D190" s="30" t="s">
        <v>173</v>
      </c>
    </row>
    <row x14ac:dyDescent="0.25" r="191" customHeight="1" ht="18.75">
      <c r="A191" s="2" t="s">
        <v>235</v>
      </c>
      <c r="B191" s="9" t="s">
        <v>236</v>
      </c>
      <c r="C191" s="34" t="s">
        <v>267</v>
      </c>
      <c r="D191" s="30" t="s">
        <v>173</v>
      </c>
    </row>
    <row x14ac:dyDescent="0.25" r="192" customHeight="1" ht="18.75">
      <c r="A192" s="2" t="s">
        <v>235</v>
      </c>
      <c r="B192" s="9" t="s">
        <v>236</v>
      </c>
      <c r="C192" s="34" t="s">
        <v>268</v>
      </c>
      <c r="D192" s="30" t="s">
        <v>173</v>
      </c>
    </row>
    <row x14ac:dyDescent="0.25" r="193" customHeight="1" ht="18.75">
      <c r="A193" s="2" t="s">
        <v>235</v>
      </c>
      <c r="B193" s="9" t="s">
        <v>236</v>
      </c>
      <c r="C193" s="31" t="s">
        <v>269</v>
      </c>
      <c r="D193" s="30" t="s">
        <v>173</v>
      </c>
    </row>
    <row x14ac:dyDescent="0.25" r="194" customHeight="1" ht="18.75">
      <c r="A194" s="2" t="s">
        <v>235</v>
      </c>
      <c r="B194" s="9" t="s">
        <v>236</v>
      </c>
      <c r="C194" s="31" t="s">
        <v>270</v>
      </c>
      <c r="D194" s="30" t="s">
        <v>208</v>
      </c>
    </row>
    <row x14ac:dyDescent="0.25" r="195" customHeight="1" ht="18.75">
      <c r="A195" s="2" t="s">
        <v>235</v>
      </c>
      <c r="B195" s="9" t="s">
        <v>236</v>
      </c>
      <c r="C195" s="31" t="s">
        <v>271</v>
      </c>
      <c r="D195" s="30" t="s">
        <v>173</v>
      </c>
    </row>
    <row x14ac:dyDescent="0.25" r="196" customHeight="1" ht="18.75">
      <c r="A196" s="2" t="s">
        <v>235</v>
      </c>
      <c r="B196" s="32" t="s">
        <v>236</v>
      </c>
      <c r="C196" s="31" t="s">
        <v>226</v>
      </c>
      <c r="D196" s="30" t="s">
        <v>175</v>
      </c>
    </row>
    <row x14ac:dyDescent="0.25" r="197" customHeight="1" ht="18.75">
      <c r="A197" s="2" t="s">
        <v>235</v>
      </c>
      <c r="B197" s="9" t="s">
        <v>236</v>
      </c>
      <c r="C197" s="31" t="s">
        <v>272</v>
      </c>
      <c r="D197" s="30" t="s">
        <v>173</v>
      </c>
    </row>
    <row x14ac:dyDescent="0.25" r="198" customHeight="1" ht="18.75">
      <c r="A198" s="2" t="s">
        <v>235</v>
      </c>
      <c r="B198" s="9" t="s">
        <v>236</v>
      </c>
      <c r="C198" s="31" t="s">
        <v>273</v>
      </c>
      <c r="D198" s="30" t="s">
        <v>208</v>
      </c>
    </row>
    <row x14ac:dyDescent="0.25" r="199" customHeight="1" ht="18.75">
      <c r="A199" s="2" t="s">
        <v>235</v>
      </c>
      <c r="B199" s="9" t="s">
        <v>236</v>
      </c>
      <c r="C199" s="31" t="s">
        <v>274</v>
      </c>
      <c r="D199" s="30" t="s">
        <v>173</v>
      </c>
    </row>
    <row x14ac:dyDescent="0.25" r="200" customHeight="1" ht="18.75">
      <c r="A200" s="2" t="s">
        <v>235</v>
      </c>
      <c r="B200" s="9" t="s">
        <v>236</v>
      </c>
      <c r="C200" s="31" t="s">
        <v>275</v>
      </c>
      <c r="D200" s="30" t="s">
        <v>173</v>
      </c>
    </row>
    <row x14ac:dyDescent="0.25" r="201" customHeight="1" ht="18.75">
      <c r="A201" s="2" t="s">
        <v>235</v>
      </c>
      <c r="B201" s="9" t="s">
        <v>236</v>
      </c>
      <c r="C201" s="31" t="s">
        <v>276</v>
      </c>
      <c r="D201" s="30" t="s">
        <v>208</v>
      </c>
    </row>
    <row x14ac:dyDescent="0.25" r="202" customHeight="1" ht="18.75">
      <c r="A202" s="2" t="s">
        <v>235</v>
      </c>
      <c r="B202" s="9" t="s">
        <v>236</v>
      </c>
      <c r="C202" s="31" t="s">
        <v>277</v>
      </c>
      <c r="D202" s="30" t="s">
        <v>173</v>
      </c>
    </row>
    <row x14ac:dyDescent="0.25" r="203" customHeight="1" ht="18.75">
      <c r="A203" s="2" t="s">
        <v>235</v>
      </c>
      <c r="B203" s="9" t="s">
        <v>236</v>
      </c>
      <c r="C203" s="31" t="s">
        <v>278</v>
      </c>
      <c r="D203" s="30" t="s">
        <v>208</v>
      </c>
    </row>
    <row x14ac:dyDescent="0.25" r="204" customHeight="1" ht="18.75">
      <c r="A204" s="2" t="s">
        <v>235</v>
      </c>
      <c r="B204" s="9" t="s">
        <v>236</v>
      </c>
      <c r="C204" s="31" t="s">
        <v>279</v>
      </c>
      <c r="D204" s="30" t="s">
        <v>173</v>
      </c>
    </row>
    <row x14ac:dyDescent="0.25" r="205" customHeight="1" ht="18.75">
      <c r="A205" s="2" t="s">
        <v>235</v>
      </c>
      <c r="B205" s="9" t="s">
        <v>236</v>
      </c>
      <c r="C205" s="31" t="s">
        <v>280</v>
      </c>
      <c r="D205" s="30" t="s">
        <v>208</v>
      </c>
    </row>
    <row x14ac:dyDescent="0.25" r="206" customHeight="1" ht="18.75">
      <c r="A206" s="2" t="s">
        <v>235</v>
      </c>
      <c r="B206" s="9" t="s">
        <v>236</v>
      </c>
      <c r="C206" s="31" t="s">
        <v>281</v>
      </c>
      <c r="D206" s="30" t="s">
        <v>173</v>
      </c>
    </row>
    <row x14ac:dyDescent="0.25" r="207" customHeight="1" ht="18.75">
      <c r="A207" s="2" t="s">
        <v>235</v>
      </c>
      <c r="B207" s="9" t="s">
        <v>236</v>
      </c>
      <c r="C207" s="31" t="s">
        <v>282</v>
      </c>
      <c r="D207" s="30" t="s">
        <v>208</v>
      </c>
    </row>
    <row x14ac:dyDescent="0.25" r="208" customHeight="1" ht="18.75">
      <c r="A208" s="2" t="s">
        <v>235</v>
      </c>
      <c r="B208" s="9" t="s">
        <v>236</v>
      </c>
      <c r="C208" s="31" t="s">
        <v>283</v>
      </c>
      <c r="D208" s="30" t="s">
        <v>173</v>
      </c>
    </row>
    <row x14ac:dyDescent="0.25" r="209" customHeight="1" ht="18.75">
      <c r="A209" s="2" t="s">
        <v>235</v>
      </c>
      <c r="B209" s="9" t="s">
        <v>236</v>
      </c>
      <c r="C209" s="31" t="s">
        <v>284</v>
      </c>
      <c r="D209" s="30" t="s">
        <v>208</v>
      </c>
    </row>
    <row x14ac:dyDescent="0.25" r="210" customHeight="1" ht="18.75">
      <c r="A210" s="2" t="s">
        <v>235</v>
      </c>
      <c r="B210" s="9" t="s">
        <v>238</v>
      </c>
      <c r="C210" s="2" t="s">
        <v>285</v>
      </c>
      <c r="D210" s="30" t="s">
        <v>173</v>
      </c>
    </row>
    <row x14ac:dyDescent="0.25" r="211" customHeight="1" ht="18.75">
      <c r="A211" s="2" t="s">
        <v>235</v>
      </c>
      <c r="B211" s="9" t="s">
        <v>236</v>
      </c>
      <c r="C211" s="2" t="s">
        <v>285</v>
      </c>
      <c r="D211" s="30" t="s">
        <v>286</v>
      </c>
    </row>
    <row x14ac:dyDescent="0.25" r="212" customHeight="1" ht="18.75">
      <c r="A212" s="2" t="s">
        <v>235</v>
      </c>
      <c r="B212" s="9" t="s">
        <v>236</v>
      </c>
      <c r="C212" s="2" t="s">
        <v>99</v>
      </c>
      <c r="D212" s="30" t="s">
        <v>173</v>
      </c>
    </row>
    <row x14ac:dyDescent="0.25" r="213" customHeight="1" ht="18.75">
      <c r="A213" s="27" t="s">
        <v>287</v>
      </c>
      <c r="B213" s="28"/>
      <c r="C213" s="28"/>
      <c r="D213" s="29"/>
    </row>
    <row x14ac:dyDescent="0.25" r="214" customHeight="1" ht="18.75">
      <c r="A214" s="2" t="s">
        <v>287</v>
      </c>
      <c r="B214" s="9" t="s">
        <v>288</v>
      </c>
      <c r="C214" s="2" t="s">
        <v>289</v>
      </c>
      <c r="D214" s="30" t="s">
        <v>173</v>
      </c>
    </row>
    <row x14ac:dyDescent="0.25" r="215" customHeight="1" ht="18.75">
      <c r="A215" s="2" t="s">
        <v>287</v>
      </c>
      <c r="B215" s="9" t="s">
        <v>290</v>
      </c>
      <c r="C215" s="2" t="s">
        <v>291</v>
      </c>
      <c r="D215" s="30" t="s">
        <v>154</v>
      </c>
    </row>
    <row x14ac:dyDescent="0.25" r="216" customHeight="1" ht="18.75">
      <c r="A216" s="2" t="s">
        <v>287</v>
      </c>
      <c r="B216" s="9" t="s">
        <v>292</v>
      </c>
      <c r="C216" s="2" t="s">
        <v>293</v>
      </c>
      <c r="D216" s="30" t="s">
        <v>154</v>
      </c>
    </row>
    <row x14ac:dyDescent="0.25" r="217" customHeight="1" ht="18.75">
      <c r="A217" s="2" t="s">
        <v>287</v>
      </c>
      <c r="B217" s="9" t="s">
        <v>294</v>
      </c>
      <c r="C217" s="2" t="s">
        <v>295</v>
      </c>
      <c r="D217" s="30" t="s">
        <v>153</v>
      </c>
    </row>
    <row x14ac:dyDescent="0.25" r="218" customHeight="1" ht="18.75">
      <c r="A218" s="2" t="s">
        <v>287</v>
      </c>
      <c r="B218" s="9" t="s">
        <v>296</v>
      </c>
      <c r="C218" s="2" t="s">
        <v>297</v>
      </c>
      <c r="D218" s="30" t="s">
        <v>208</v>
      </c>
    </row>
    <row x14ac:dyDescent="0.25" r="219" customHeight="1" ht="18.75">
      <c r="A219" s="2" t="s">
        <v>287</v>
      </c>
      <c r="B219" s="9" t="s">
        <v>298</v>
      </c>
      <c r="C219" s="2" t="s">
        <v>299</v>
      </c>
      <c r="D219" s="30" t="s">
        <v>286</v>
      </c>
    </row>
    <row x14ac:dyDescent="0.25" r="220" customHeight="1" ht="18.75">
      <c r="A220" s="2" t="s">
        <v>287</v>
      </c>
      <c r="B220" s="9" t="s">
        <v>300</v>
      </c>
      <c r="C220" s="2" t="s">
        <v>301</v>
      </c>
      <c r="D220" s="30" t="s">
        <v>286</v>
      </c>
    </row>
    <row x14ac:dyDescent="0.25" r="221" customHeight="1" ht="18.75">
      <c r="A221" s="2" t="s">
        <v>287</v>
      </c>
      <c r="B221" s="9" t="s">
        <v>302</v>
      </c>
      <c r="C221" s="2" t="s">
        <v>303</v>
      </c>
      <c r="D221" s="30" t="s">
        <v>154</v>
      </c>
    </row>
    <row x14ac:dyDescent="0.25" r="222" customHeight="1" ht="18.75">
      <c r="A222" s="2" t="s">
        <v>287</v>
      </c>
      <c r="B222" s="9" t="s">
        <v>304</v>
      </c>
      <c r="C222" s="2" t="s">
        <v>305</v>
      </c>
      <c r="D222" s="30" t="s">
        <v>173</v>
      </c>
    </row>
    <row x14ac:dyDescent="0.25" r="223" customHeight="1" ht="18.75">
      <c r="A223" s="2" t="s">
        <v>287</v>
      </c>
      <c r="B223" s="9" t="s">
        <v>288</v>
      </c>
      <c r="C223" s="2" t="s">
        <v>306</v>
      </c>
      <c r="D223" s="30" t="s">
        <v>173</v>
      </c>
    </row>
    <row x14ac:dyDescent="0.25" r="224" customHeight="1" ht="18.75">
      <c r="A224" s="2" t="s">
        <v>287</v>
      </c>
      <c r="B224" s="9" t="s">
        <v>292</v>
      </c>
      <c r="C224" s="2" t="s">
        <v>307</v>
      </c>
      <c r="D224" s="30" t="s">
        <v>154</v>
      </c>
    </row>
    <row x14ac:dyDescent="0.25" r="225" customHeight="1" ht="18.75">
      <c r="A225" s="2" t="s">
        <v>287</v>
      </c>
      <c r="B225" s="9" t="s">
        <v>304</v>
      </c>
      <c r="C225" s="2" t="s">
        <v>308</v>
      </c>
      <c r="D225" s="30" t="s">
        <v>154</v>
      </c>
    </row>
    <row x14ac:dyDescent="0.25" r="226" customHeight="1" ht="18.75">
      <c r="A226" s="2" t="s">
        <v>287</v>
      </c>
      <c r="B226" s="9" t="s">
        <v>309</v>
      </c>
      <c r="C226" s="2" t="s">
        <v>310</v>
      </c>
      <c r="D226" s="30" t="s">
        <v>154</v>
      </c>
    </row>
    <row x14ac:dyDescent="0.25" r="227" customHeight="1" ht="18.75">
      <c r="A227" s="2" t="s">
        <v>287</v>
      </c>
      <c r="B227" s="9" t="s">
        <v>311</v>
      </c>
      <c r="C227" s="2" t="s">
        <v>312</v>
      </c>
      <c r="D227" s="30" t="s">
        <v>154</v>
      </c>
    </row>
    <row x14ac:dyDescent="0.25" r="228" customHeight="1" ht="18.75">
      <c r="A228" s="2" t="s">
        <v>287</v>
      </c>
      <c r="B228" s="9" t="s">
        <v>313</v>
      </c>
      <c r="C228" s="2" t="s">
        <v>314</v>
      </c>
      <c r="D228" s="30" t="s">
        <v>154</v>
      </c>
    </row>
    <row x14ac:dyDescent="0.25" r="229" customHeight="1" ht="18.75">
      <c r="A229" s="2" t="s">
        <v>287</v>
      </c>
      <c r="B229" s="9" t="s">
        <v>315</v>
      </c>
      <c r="C229" s="2" t="s">
        <v>316</v>
      </c>
      <c r="D229" s="30" t="s">
        <v>154</v>
      </c>
    </row>
    <row x14ac:dyDescent="0.25" r="230" customHeight="1" ht="18.75">
      <c r="A230" s="2" t="s">
        <v>287</v>
      </c>
      <c r="B230" s="9" t="s">
        <v>304</v>
      </c>
      <c r="C230" s="2" t="s">
        <v>317</v>
      </c>
      <c r="D230" s="30" t="s">
        <v>154</v>
      </c>
    </row>
    <row x14ac:dyDescent="0.25" r="231" customHeight="1" ht="18.75">
      <c r="A231" s="2" t="s">
        <v>287</v>
      </c>
      <c r="B231" s="9" t="s">
        <v>318</v>
      </c>
      <c r="C231" s="2" t="s">
        <v>319</v>
      </c>
      <c r="D231" s="30" t="s">
        <v>173</v>
      </c>
    </row>
    <row x14ac:dyDescent="0.25" r="232" customHeight="1" ht="18.75">
      <c r="A232" s="2" t="s">
        <v>287</v>
      </c>
      <c r="B232" s="9" t="s">
        <v>302</v>
      </c>
      <c r="C232" s="2" t="s">
        <v>320</v>
      </c>
      <c r="D232" s="30" t="s">
        <v>154</v>
      </c>
    </row>
    <row x14ac:dyDescent="0.25" r="233" customHeight="1" ht="18.75">
      <c r="A233" s="2" t="s">
        <v>287</v>
      </c>
      <c r="B233" s="9" t="s">
        <v>309</v>
      </c>
      <c r="C233" s="2" t="s">
        <v>321</v>
      </c>
      <c r="D233" s="30" t="s">
        <v>173</v>
      </c>
    </row>
    <row x14ac:dyDescent="0.25" r="234" customHeight="1" ht="18.75">
      <c r="A234" s="2" t="s">
        <v>287</v>
      </c>
      <c r="B234" s="9" t="s">
        <v>322</v>
      </c>
      <c r="C234" s="2" t="s">
        <v>323</v>
      </c>
      <c r="D234" s="30" t="s">
        <v>173</v>
      </c>
    </row>
    <row x14ac:dyDescent="0.25" r="235" customHeight="1" ht="18.75">
      <c r="A235" s="2" t="s">
        <v>287</v>
      </c>
      <c r="B235" s="9" t="s">
        <v>324</v>
      </c>
      <c r="C235" s="2" t="s">
        <v>325</v>
      </c>
      <c r="D235" s="30" t="s">
        <v>154</v>
      </c>
    </row>
    <row x14ac:dyDescent="0.25" r="236" customHeight="1" ht="18.75">
      <c r="A236" s="2" t="s">
        <v>287</v>
      </c>
      <c r="B236" s="9" t="s">
        <v>298</v>
      </c>
      <c r="C236" s="2" t="s">
        <v>326</v>
      </c>
      <c r="D236" s="30" t="s">
        <v>286</v>
      </c>
    </row>
    <row x14ac:dyDescent="0.25" r="237" customHeight="1" ht="18.75">
      <c r="A237" s="2" t="s">
        <v>287</v>
      </c>
      <c r="B237" s="9" t="s">
        <v>304</v>
      </c>
      <c r="C237" s="2" t="s">
        <v>327</v>
      </c>
      <c r="D237" s="30" t="s">
        <v>173</v>
      </c>
    </row>
    <row x14ac:dyDescent="0.25" r="238" customHeight="1" ht="18.75">
      <c r="A238" s="2" t="s">
        <v>287</v>
      </c>
      <c r="B238" s="9" t="s">
        <v>296</v>
      </c>
      <c r="C238" s="2" t="s">
        <v>328</v>
      </c>
      <c r="D238" s="30" t="s">
        <v>155</v>
      </c>
    </row>
    <row x14ac:dyDescent="0.25" r="239" customHeight="1" ht="18.75">
      <c r="A239" s="2" t="s">
        <v>287</v>
      </c>
      <c r="B239" s="9" t="s">
        <v>329</v>
      </c>
      <c r="C239" s="2" t="s">
        <v>330</v>
      </c>
      <c r="D239" s="30" t="s">
        <v>154</v>
      </c>
    </row>
    <row x14ac:dyDescent="0.25" r="240" customHeight="1" ht="18.75">
      <c r="A240" s="2" t="s">
        <v>287</v>
      </c>
      <c r="B240" s="9" t="s">
        <v>331</v>
      </c>
      <c r="C240" s="2" t="s">
        <v>332</v>
      </c>
      <c r="D240" s="30" t="s">
        <v>173</v>
      </c>
    </row>
    <row x14ac:dyDescent="0.25" r="241" customHeight="1" ht="18.75">
      <c r="A241" s="2" t="s">
        <v>287</v>
      </c>
      <c r="B241" s="9" t="s">
        <v>322</v>
      </c>
      <c r="C241" s="2" t="s">
        <v>333</v>
      </c>
      <c r="D241" s="30" t="s">
        <v>173</v>
      </c>
    </row>
    <row x14ac:dyDescent="0.25" r="242" customHeight="1" ht="18.75">
      <c r="A242" s="2" t="s">
        <v>287</v>
      </c>
      <c r="B242" s="9" t="s">
        <v>322</v>
      </c>
      <c r="C242" s="2" t="s">
        <v>334</v>
      </c>
      <c r="D242" s="30" t="s">
        <v>173</v>
      </c>
    </row>
    <row x14ac:dyDescent="0.25" r="243" customHeight="1" ht="18.75">
      <c r="A243" s="2" t="s">
        <v>287</v>
      </c>
      <c r="B243" s="9" t="s">
        <v>304</v>
      </c>
      <c r="C243" s="2" t="s">
        <v>335</v>
      </c>
      <c r="D243" s="30" t="s">
        <v>154</v>
      </c>
    </row>
    <row x14ac:dyDescent="0.25" r="244" customHeight="1" ht="18.75">
      <c r="A244" s="2" t="s">
        <v>287</v>
      </c>
      <c r="B244" s="9" t="s">
        <v>336</v>
      </c>
      <c r="C244" s="2" t="s">
        <v>337</v>
      </c>
      <c r="D244" s="30" t="s">
        <v>154</v>
      </c>
    </row>
    <row x14ac:dyDescent="0.25" r="245" customHeight="1" ht="18.75">
      <c r="A245" s="2" t="s">
        <v>287</v>
      </c>
      <c r="B245" s="9" t="s">
        <v>292</v>
      </c>
      <c r="C245" s="2" t="s">
        <v>338</v>
      </c>
      <c r="D245" s="30" t="s">
        <v>154</v>
      </c>
    </row>
    <row x14ac:dyDescent="0.25" r="246" customHeight="1" ht="18.75">
      <c r="A246" s="2" t="s">
        <v>287</v>
      </c>
      <c r="B246" s="9" t="s">
        <v>336</v>
      </c>
      <c r="C246" s="2" t="s">
        <v>339</v>
      </c>
      <c r="D246" s="30" t="s">
        <v>154</v>
      </c>
    </row>
    <row x14ac:dyDescent="0.25" r="247" customHeight="1" ht="18.75">
      <c r="A247" s="2" t="s">
        <v>287</v>
      </c>
      <c r="B247" s="9" t="s">
        <v>318</v>
      </c>
      <c r="C247" s="2" t="s">
        <v>340</v>
      </c>
      <c r="D247" s="30" t="s">
        <v>173</v>
      </c>
    </row>
    <row x14ac:dyDescent="0.25" r="248" customHeight="1" ht="18.75">
      <c r="A248" s="2" t="s">
        <v>287</v>
      </c>
      <c r="B248" s="9" t="s">
        <v>302</v>
      </c>
      <c r="C248" s="2" t="s">
        <v>341</v>
      </c>
      <c r="D248" s="30" t="s">
        <v>154</v>
      </c>
    </row>
    <row x14ac:dyDescent="0.25" r="249" customHeight="1" ht="18.75">
      <c r="A249" s="2" t="s">
        <v>287</v>
      </c>
      <c r="B249" s="9" t="s">
        <v>290</v>
      </c>
      <c r="C249" s="2" t="s">
        <v>342</v>
      </c>
      <c r="D249" s="30" t="s">
        <v>175</v>
      </c>
    </row>
    <row x14ac:dyDescent="0.25" r="250" customHeight="1" ht="18.75">
      <c r="A250" s="2" t="s">
        <v>287</v>
      </c>
      <c r="B250" s="9" t="s">
        <v>343</v>
      </c>
      <c r="C250" s="2" t="s">
        <v>344</v>
      </c>
      <c r="D250" s="30" t="s">
        <v>173</v>
      </c>
    </row>
    <row x14ac:dyDescent="0.25" r="251" customHeight="1" ht="18.75">
      <c r="A251" s="2" t="s">
        <v>287</v>
      </c>
      <c r="B251" s="9" t="s">
        <v>322</v>
      </c>
      <c r="C251" s="2" t="s">
        <v>345</v>
      </c>
      <c r="D251" s="30" t="s">
        <v>154</v>
      </c>
    </row>
    <row x14ac:dyDescent="0.25" r="252" customHeight="1" ht="18.75">
      <c r="A252" s="2" t="s">
        <v>287</v>
      </c>
      <c r="B252" s="9" t="s">
        <v>346</v>
      </c>
      <c r="C252" s="2" t="s">
        <v>347</v>
      </c>
      <c r="D252" s="30" t="s">
        <v>154</v>
      </c>
    </row>
    <row x14ac:dyDescent="0.25" r="253" customHeight="1" ht="18.75">
      <c r="A253" s="2" t="s">
        <v>287</v>
      </c>
      <c r="B253" s="9" t="s">
        <v>336</v>
      </c>
      <c r="C253" s="2" t="s">
        <v>348</v>
      </c>
      <c r="D253" s="30" t="s">
        <v>154</v>
      </c>
    </row>
    <row x14ac:dyDescent="0.25" r="254" customHeight="1" ht="18.75">
      <c r="A254" s="2" t="s">
        <v>287</v>
      </c>
      <c r="B254" s="9" t="s">
        <v>309</v>
      </c>
      <c r="C254" s="2" t="s">
        <v>349</v>
      </c>
      <c r="D254" s="30" t="s">
        <v>154</v>
      </c>
    </row>
    <row x14ac:dyDescent="0.25" r="255" customHeight="1" ht="18.75">
      <c r="A255" s="2" t="s">
        <v>287</v>
      </c>
      <c r="B255" s="9" t="s">
        <v>296</v>
      </c>
      <c r="C255" s="2" t="s">
        <v>350</v>
      </c>
      <c r="D255" s="30" t="s">
        <v>175</v>
      </c>
    </row>
    <row x14ac:dyDescent="0.25" r="256" customHeight="1" ht="18.75">
      <c r="A256" s="2" t="s">
        <v>287</v>
      </c>
      <c r="B256" s="9" t="s">
        <v>304</v>
      </c>
      <c r="C256" s="2" t="s">
        <v>351</v>
      </c>
      <c r="D256" s="30" t="s">
        <v>173</v>
      </c>
    </row>
    <row x14ac:dyDescent="0.25" r="257" customHeight="1" ht="18.75">
      <c r="A257" s="2" t="s">
        <v>287</v>
      </c>
      <c r="B257" s="9" t="s">
        <v>315</v>
      </c>
      <c r="C257" s="2" t="s">
        <v>352</v>
      </c>
      <c r="D257" s="30" t="s">
        <v>173</v>
      </c>
    </row>
    <row x14ac:dyDescent="0.25" r="258" customHeight="1" ht="18.75">
      <c r="A258" s="2" t="s">
        <v>287</v>
      </c>
      <c r="B258" s="9" t="s">
        <v>309</v>
      </c>
      <c r="C258" s="2" t="s">
        <v>353</v>
      </c>
      <c r="D258" s="30" t="s">
        <v>154</v>
      </c>
    </row>
    <row x14ac:dyDescent="0.25" r="259" customHeight="1" ht="18.75">
      <c r="A259" s="2" t="s">
        <v>287</v>
      </c>
      <c r="B259" s="9" t="s">
        <v>302</v>
      </c>
      <c r="C259" s="2" t="s">
        <v>354</v>
      </c>
      <c r="D259" s="30" t="s">
        <v>154</v>
      </c>
    </row>
    <row x14ac:dyDescent="0.25" r="260" customHeight="1" ht="18.75">
      <c r="A260" s="2" t="s">
        <v>287</v>
      </c>
      <c r="B260" s="9" t="s">
        <v>318</v>
      </c>
      <c r="C260" s="2" t="s">
        <v>355</v>
      </c>
      <c r="D260" s="30" t="s">
        <v>154</v>
      </c>
    </row>
    <row x14ac:dyDescent="0.25" r="261" customHeight="1" ht="18.75">
      <c r="A261" s="2" t="s">
        <v>287</v>
      </c>
      <c r="B261" s="9" t="s">
        <v>298</v>
      </c>
      <c r="C261" s="2" t="s">
        <v>356</v>
      </c>
      <c r="D261" s="30" t="s">
        <v>173</v>
      </c>
    </row>
    <row x14ac:dyDescent="0.25" r="262" customHeight="1" ht="18.75">
      <c r="A262" s="2" t="s">
        <v>287</v>
      </c>
      <c r="B262" s="9" t="s">
        <v>304</v>
      </c>
      <c r="C262" s="2" t="s">
        <v>357</v>
      </c>
      <c r="D262" s="30" t="s">
        <v>173</v>
      </c>
    </row>
    <row x14ac:dyDescent="0.25" r="263" customHeight="1" ht="18.75">
      <c r="A263" s="2" t="s">
        <v>287</v>
      </c>
      <c r="B263" s="9" t="s">
        <v>318</v>
      </c>
      <c r="C263" s="2" t="s">
        <v>358</v>
      </c>
      <c r="D263" s="30" t="s">
        <v>173</v>
      </c>
    </row>
    <row x14ac:dyDescent="0.25" r="264" customHeight="1" ht="18.75">
      <c r="A264" s="2" t="s">
        <v>287</v>
      </c>
      <c r="B264" s="9" t="s">
        <v>313</v>
      </c>
      <c r="C264" s="2" t="s">
        <v>359</v>
      </c>
      <c r="D264" s="30" t="s">
        <v>208</v>
      </c>
    </row>
    <row x14ac:dyDescent="0.25" r="265" customHeight="1" ht="18.75">
      <c r="A265" s="2" t="s">
        <v>287</v>
      </c>
      <c r="B265" s="9" t="s">
        <v>336</v>
      </c>
      <c r="C265" s="2" t="s">
        <v>360</v>
      </c>
      <c r="D265" s="30" t="s">
        <v>173</v>
      </c>
    </row>
    <row x14ac:dyDescent="0.25" r="266" customHeight="1" ht="18.75">
      <c r="A266" s="2" t="s">
        <v>287</v>
      </c>
      <c r="B266" s="9" t="s">
        <v>290</v>
      </c>
      <c r="C266" s="2" t="s">
        <v>361</v>
      </c>
      <c r="D266" s="30" t="s">
        <v>154</v>
      </c>
    </row>
    <row x14ac:dyDescent="0.25" r="267" customHeight="1" ht="18.75">
      <c r="A267" s="2" t="s">
        <v>287</v>
      </c>
      <c r="B267" s="9" t="s">
        <v>300</v>
      </c>
      <c r="C267" s="2" t="s">
        <v>362</v>
      </c>
      <c r="D267" s="30" t="s">
        <v>286</v>
      </c>
    </row>
    <row x14ac:dyDescent="0.25" r="268" customHeight="1" ht="18.75">
      <c r="A268" s="2" t="s">
        <v>287</v>
      </c>
      <c r="B268" s="9" t="s">
        <v>292</v>
      </c>
      <c r="C268" s="2" t="s">
        <v>363</v>
      </c>
      <c r="D268" s="30" t="s">
        <v>154</v>
      </c>
    </row>
    <row x14ac:dyDescent="0.25" r="269" customHeight="1" ht="18.75">
      <c r="A269" s="2" t="s">
        <v>287</v>
      </c>
      <c r="B269" s="9" t="s">
        <v>364</v>
      </c>
      <c r="C269" s="2" t="s">
        <v>365</v>
      </c>
      <c r="D269" s="30" t="s">
        <v>173</v>
      </c>
    </row>
    <row x14ac:dyDescent="0.25" r="270" customHeight="1" ht="18.75">
      <c r="A270" s="2" t="s">
        <v>287</v>
      </c>
      <c r="B270" s="9" t="s">
        <v>366</v>
      </c>
      <c r="C270" s="2" t="s">
        <v>367</v>
      </c>
      <c r="D270" s="30" t="s">
        <v>154</v>
      </c>
    </row>
    <row x14ac:dyDescent="0.25" r="271" customHeight="1" ht="18.75">
      <c r="A271" s="2" t="s">
        <v>287</v>
      </c>
      <c r="B271" s="9" t="s">
        <v>302</v>
      </c>
      <c r="C271" s="2" t="s">
        <v>368</v>
      </c>
      <c r="D271" s="30" t="s">
        <v>154</v>
      </c>
    </row>
    <row x14ac:dyDescent="0.25" r="272" customHeight="1" ht="18.75">
      <c r="A272" s="2" t="s">
        <v>287</v>
      </c>
      <c r="B272" s="9" t="s">
        <v>302</v>
      </c>
      <c r="C272" s="2" t="s">
        <v>369</v>
      </c>
      <c r="D272" s="30" t="s">
        <v>154</v>
      </c>
    </row>
    <row x14ac:dyDescent="0.25" r="273" customHeight="1" ht="18.75">
      <c r="A273" s="2" t="s">
        <v>287</v>
      </c>
      <c r="B273" s="9" t="s">
        <v>290</v>
      </c>
      <c r="C273" s="2" t="s">
        <v>370</v>
      </c>
      <c r="D273" s="30" t="s">
        <v>154</v>
      </c>
    </row>
    <row x14ac:dyDescent="0.25" r="274" customHeight="1" ht="18.75">
      <c r="A274" s="2" t="s">
        <v>287</v>
      </c>
      <c r="B274" s="9" t="s">
        <v>322</v>
      </c>
      <c r="C274" s="2" t="s">
        <v>371</v>
      </c>
      <c r="D274" s="30" t="s">
        <v>173</v>
      </c>
    </row>
    <row x14ac:dyDescent="0.25" r="275" customHeight="1" ht="18.75">
      <c r="A275" s="2" t="s">
        <v>287</v>
      </c>
      <c r="B275" s="9" t="s">
        <v>309</v>
      </c>
      <c r="C275" s="2" t="s">
        <v>372</v>
      </c>
      <c r="D275" s="30" t="s">
        <v>173</v>
      </c>
    </row>
    <row x14ac:dyDescent="0.25" r="276" customHeight="1" ht="18.75">
      <c r="A276" s="2" t="s">
        <v>287</v>
      </c>
      <c r="B276" s="9" t="s">
        <v>302</v>
      </c>
      <c r="C276" s="2" t="s">
        <v>373</v>
      </c>
      <c r="D276" s="30" t="s">
        <v>154</v>
      </c>
    </row>
    <row x14ac:dyDescent="0.25" r="277" customHeight="1" ht="18.75">
      <c r="A277" s="2" t="s">
        <v>287</v>
      </c>
      <c r="B277" s="9" t="s">
        <v>374</v>
      </c>
      <c r="C277" s="2" t="s">
        <v>375</v>
      </c>
      <c r="D277" s="30" t="s">
        <v>173</v>
      </c>
    </row>
    <row x14ac:dyDescent="0.25" r="278" customHeight="1" ht="18.75">
      <c r="A278" s="2" t="s">
        <v>287</v>
      </c>
      <c r="B278" s="9" t="s">
        <v>336</v>
      </c>
      <c r="C278" s="2" t="s">
        <v>376</v>
      </c>
      <c r="D278" s="30" t="s">
        <v>173</v>
      </c>
    </row>
    <row x14ac:dyDescent="0.25" r="279" customHeight="1" ht="18.75">
      <c r="A279" s="2" t="s">
        <v>287</v>
      </c>
      <c r="B279" s="9" t="s">
        <v>292</v>
      </c>
      <c r="C279" s="2" t="s">
        <v>377</v>
      </c>
      <c r="D279" s="30" t="s">
        <v>154</v>
      </c>
    </row>
    <row x14ac:dyDescent="0.25" r="280" customHeight="1" ht="18.75">
      <c r="A280" s="2" t="s">
        <v>287</v>
      </c>
      <c r="B280" s="9" t="s">
        <v>290</v>
      </c>
      <c r="C280" s="2" t="s">
        <v>378</v>
      </c>
      <c r="D280" s="30" t="s">
        <v>154</v>
      </c>
    </row>
    <row x14ac:dyDescent="0.25" r="281" customHeight="1" ht="18.75">
      <c r="A281" s="2" t="s">
        <v>287</v>
      </c>
      <c r="B281" s="9" t="s">
        <v>318</v>
      </c>
      <c r="C281" s="2" t="s">
        <v>379</v>
      </c>
      <c r="D281" s="30" t="s">
        <v>154</v>
      </c>
    </row>
    <row x14ac:dyDescent="0.25" r="282" customHeight="1" ht="18.75">
      <c r="A282" s="2" t="s">
        <v>287</v>
      </c>
      <c r="B282" s="9" t="s">
        <v>302</v>
      </c>
      <c r="C282" s="2" t="s">
        <v>380</v>
      </c>
      <c r="D282" s="30" t="s">
        <v>154</v>
      </c>
    </row>
    <row x14ac:dyDescent="0.25" r="283" customHeight="1" ht="18.75">
      <c r="A283" s="2" t="s">
        <v>287</v>
      </c>
      <c r="B283" s="9" t="s">
        <v>336</v>
      </c>
      <c r="C283" s="2" t="s">
        <v>381</v>
      </c>
      <c r="D283" s="30" t="s">
        <v>173</v>
      </c>
    </row>
    <row x14ac:dyDescent="0.25" r="284" customHeight="1" ht="18.75">
      <c r="A284" s="2" t="s">
        <v>287</v>
      </c>
      <c r="B284" s="9" t="s">
        <v>366</v>
      </c>
      <c r="C284" s="2" t="s">
        <v>382</v>
      </c>
      <c r="D284" s="30" t="s">
        <v>154</v>
      </c>
    </row>
    <row x14ac:dyDescent="0.25" r="285" customHeight="1" ht="18.75">
      <c r="A285" s="2" t="s">
        <v>287</v>
      </c>
      <c r="B285" s="9" t="s">
        <v>290</v>
      </c>
      <c r="C285" s="2" t="s">
        <v>383</v>
      </c>
      <c r="D285" s="30" t="s">
        <v>154</v>
      </c>
    </row>
    <row x14ac:dyDescent="0.25" r="286" customHeight="1" ht="18.75">
      <c r="A286" s="2" t="s">
        <v>287</v>
      </c>
      <c r="B286" s="9" t="s">
        <v>309</v>
      </c>
      <c r="C286" s="2" t="s">
        <v>384</v>
      </c>
      <c r="D286" s="30" t="s">
        <v>173</v>
      </c>
    </row>
    <row x14ac:dyDescent="0.25" r="287" customHeight="1" ht="18.75">
      <c r="A287" s="2" t="s">
        <v>287</v>
      </c>
      <c r="B287" s="9" t="s">
        <v>300</v>
      </c>
      <c r="C287" s="2" t="s">
        <v>385</v>
      </c>
      <c r="D287" s="30" t="s">
        <v>286</v>
      </c>
    </row>
    <row x14ac:dyDescent="0.25" r="288" customHeight="1" ht="18.75">
      <c r="A288" s="2" t="s">
        <v>287</v>
      </c>
      <c r="B288" s="9" t="s">
        <v>292</v>
      </c>
      <c r="C288" s="2" t="s">
        <v>386</v>
      </c>
      <c r="D288" s="30" t="s">
        <v>154</v>
      </c>
    </row>
    <row x14ac:dyDescent="0.25" r="289" customHeight="1" ht="18.75">
      <c r="A289" s="2" t="s">
        <v>287</v>
      </c>
      <c r="B289" s="9" t="s">
        <v>309</v>
      </c>
      <c r="C289" s="2" t="s">
        <v>387</v>
      </c>
      <c r="D289" s="30" t="s">
        <v>154</v>
      </c>
    </row>
    <row x14ac:dyDescent="0.25" r="290" customHeight="1" ht="18.75">
      <c r="A290" s="2" t="s">
        <v>287</v>
      </c>
      <c r="B290" s="9" t="s">
        <v>346</v>
      </c>
      <c r="C290" s="2" t="s">
        <v>388</v>
      </c>
      <c r="D290" s="30" t="s">
        <v>154</v>
      </c>
    </row>
    <row x14ac:dyDescent="0.25" r="291" customHeight="1" ht="18.75">
      <c r="A291" s="2" t="s">
        <v>287</v>
      </c>
      <c r="B291" s="9" t="s">
        <v>298</v>
      </c>
      <c r="C291" s="2" t="s">
        <v>389</v>
      </c>
      <c r="D291" s="30" t="s">
        <v>286</v>
      </c>
    </row>
    <row x14ac:dyDescent="0.25" r="292" customHeight="1" ht="18.75">
      <c r="A292" s="2" t="s">
        <v>287</v>
      </c>
      <c r="B292" s="9" t="s">
        <v>324</v>
      </c>
      <c r="C292" s="2" t="s">
        <v>390</v>
      </c>
      <c r="D292" s="30" t="s">
        <v>154</v>
      </c>
    </row>
    <row x14ac:dyDescent="0.25" r="293" customHeight="1" ht="18.75">
      <c r="A293" s="2" t="s">
        <v>287</v>
      </c>
      <c r="B293" s="9" t="s">
        <v>290</v>
      </c>
      <c r="C293" s="2" t="s">
        <v>391</v>
      </c>
      <c r="D293" s="30" t="s">
        <v>154</v>
      </c>
    </row>
    <row x14ac:dyDescent="0.25" r="294" customHeight="1" ht="18.75">
      <c r="A294" s="2" t="s">
        <v>287</v>
      </c>
      <c r="B294" s="9" t="s">
        <v>294</v>
      </c>
      <c r="C294" s="2" t="s">
        <v>392</v>
      </c>
      <c r="D294" s="30" t="s">
        <v>154</v>
      </c>
    </row>
    <row x14ac:dyDescent="0.25" r="295" customHeight="1" ht="18.75">
      <c r="A295" s="2" t="s">
        <v>287</v>
      </c>
      <c r="B295" s="9" t="s">
        <v>290</v>
      </c>
      <c r="C295" s="2" t="s">
        <v>393</v>
      </c>
      <c r="D295" s="30" t="s">
        <v>154</v>
      </c>
    </row>
    <row x14ac:dyDescent="0.25" r="296" customHeight="1" ht="18.75">
      <c r="A296" s="2" t="s">
        <v>287</v>
      </c>
      <c r="B296" s="9" t="s">
        <v>394</v>
      </c>
      <c r="C296" s="2" t="s">
        <v>395</v>
      </c>
      <c r="D296" s="30" t="s">
        <v>173</v>
      </c>
    </row>
    <row x14ac:dyDescent="0.25" r="297" customHeight="1" ht="18.75">
      <c r="A297" s="2" t="s">
        <v>287</v>
      </c>
      <c r="B297" s="9" t="s">
        <v>396</v>
      </c>
      <c r="C297" s="2" t="s">
        <v>397</v>
      </c>
      <c r="D297" s="30" t="s">
        <v>173</v>
      </c>
    </row>
    <row x14ac:dyDescent="0.25" r="298" customHeight="1" ht="18.75">
      <c r="A298" s="2" t="s">
        <v>287</v>
      </c>
      <c r="B298" s="9" t="s">
        <v>398</v>
      </c>
      <c r="C298" s="2" t="s">
        <v>399</v>
      </c>
      <c r="D298" s="30" t="s">
        <v>173</v>
      </c>
    </row>
    <row x14ac:dyDescent="0.25" r="299" customHeight="1" ht="18.75">
      <c r="A299" s="2" t="s">
        <v>287</v>
      </c>
      <c r="B299" s="9" t="s">
        <v>304</v>
      </c>
      <c r="C299" s="2" t="s">
        <v>400</v>
      </c>
      <c r="D299" s="30" t="s">
        <v>173</v>
      </c>
    </row>
    <row x14ac:dyDescent="0.25" r="300" customHeight="1" ht="18.75">
      <c r="A300" s="2" t="s">
        <v>287</v>
      </c>
      <c r="B300" s="9" t="s">
        <v>302</v>
      </c>
      <c r="C300" s="2" t="s">
        <v>401</v>
      </c>
      <c r="D300" s="30" t="s">
        <v>175</v>
      </c>
    </row>
    <row x14ac:dyDescent="0.25" r="301" customHeight="1" ht="18.75">
      <c r="A301" s="2" t="s">
        <v>287</v>
      </c>
      <c r="B301" s="9" t="s">
        <v>402</v>
      </c>
      <c r="C301" s="2" t="s">
        <v>403</v>
      </c>
      <c r="D301" s="30" t="s">
        <v>154</v>
      </c>
    </row>
    <row x14ac:dyDescent="0.25" r="302" customHeight="1" ht="18.75">
      <c r="A302" s="2" t="s">
        <v>287</v>
      </c>
      <c r="B302" s="9" t="s">
        <v>404</v>
      </c>
      <c r="C302" s="2" t="s">
        <v>405</v>
      </c>
      <c r="D302" s="30" t="s">
        <v>173</v>
      </c>
    </row>
    <row x14ac:dyDescent="0.25" r="303" customHeight="1" ht="18.75">
      <c r="A303" s="2" t="s">
        <v>287</v>
      </c>
      <c r="B303" s="9" t="s">
        <v>346</v>
      </c>
      <c r="C303" s="2" t="s">
        <v>406</v>
      </c>
      <c r="D303" s="30" t="s">
        <v>153</v>
      </c>
    </row>
    <row x14ac:dyDescent="0.25" r="304" customHeight="1" ht="18.75">
      <c r="A304" s="2" t="s">
        <v>287</v>
      </c>
      <c r="B304" s="9" t="s">
        <v>407</v>
      </c>
      <c r="C304" s="2" t="s">
        <v>408</v>
      </c>
      <c r="D304" s="30" t="s">
        <v>154</v>
      </c>
    </row>
    <row x14ac:dyDescent="0.25" r="305" customHeight="1" ht="18.75">
      <c r="A305" s="2" t="s">
        <v>287</v>
      </c>
      <c r="B305" s="9" t="s">
        <v>409</v>
      </c>
      <c r="C305" s="2" t="s">
        <v>410</v>
      </c>
      <c r="D305" s="30" t="s">
        <v>173</v>
      </c>
    </row>
    <row x14ac:dyDescent="0.25" r="306" customHeight="1" ht="18.75">
      <c r="A306" s="2" t="s">
        <v>287</v>
      </c>
      <c r="B306" s="9" t="s">
        <v>290</v>
      </c>
      <c r="C306" s="2" t="s">
        <v>411</v>
      </c>
      <c r="D306" s="30" t="s">
        <v>175</v>
      </c>
    </row>
    <row x14ac:dyDescent="0.25" r="307" customHeight="1" ht="18.75">
      <c r="A307" s="2" t="s">
        <v>287</v>
      </c>
      <c r="B307" s="9" t="s">
        <v>402</v>
      </c>
      <c r="C307" s="2" t="s">
        <v>412</v>
      </c>
      <c r="D307" s="30" t="s">
        <v>154</v>
      </c>
    </row>
    <row x14ac:dyDescent="0.25" r="308" customHeight="1" ht="18.75">
      <c r="A308" s="2" t="s">
        <v>287</v>
      </c>
      <c r="B308" s="9" t="s">
        <v>413</v>
      </c>
      <c r="C308" s="2" t="s">
        <v>414</v>
      </c>
      <c r="D308" s="30" t="s">
        <v>173</v>
      </c>
    </row>
    <row x14ac:dyDescent="0.25" r="309" customHeight="1" ht="18.75">
      <c r="A309" s="2" t="s">
        <v>287</v>
      </c>
      <c r="B309" s="9" t="s">
        <v>366</v>
      </c>
      <c r="C309" s="2" t="s">
        <v>415</v>
      </c>
      <c r="D309" s="30" t="s">
        <v>173</v>
      </c>
    </row>
    <row x14ac:dyDescent="0.25" r="310" customHeight="1" ht="18.75">
      <c r="A310" s="2" t="s">
        <v>287</v>
      </c>
      <c r="B310" s="9" t="s">
        <v>315</v>
      </c>
      <c r="C310" s="2" t="s">
        <v>416</v>
      </c>
      <c r="D310" s="30" t="s">
        <v>208</v>
      </c>
    </row>
    <row x14ac:dyDescent="0.25" r="311" customHeight="1" ht="18.75">
      <c r="A311" s="2" t="s">
        <v>287</v>
      </c>
      <c r="B311" s="9" t="s">
        <v>304</v>
      </c>
      <c r="C311" s="2" t="s">
        <v>417</v>
      </c>
      <c r="D311" s="30" t="s">
        <v>173</v>
      </c>
    </row>
    <row x14ac:dyDescent="0.25" r="312" customHeight="1" ht="18.75">
      <c r="A312" s="2" t="s">
        <v>287</v>
      </c>
      <c r="B312" s="9" t="s">
        <v>404</v>
      </c>
      <c r="C312" s="2" t="s">
        <v>418</v>
      </c>
      <c r="D312" s="30" t="s">
        <v>154</v>
      </c>
    </row>
    <row x14ac:dyDescent="0.25" r="313" customHeight="1" ht="18.75">
      <c r="A313" s="2" t="s">
        <v>287</v>
      </c>
      <c r="B313" s="9" t="s">
        <v>402</v>
      </c>
      <c r="C313" s="2" t="s">
        <v>419</v>
      </c>
      <c r="D313" s="30" t="s">
        <v>173</v>
      </c>
    </row>
    <row x14ac:dyDescent="0.25" r="314" customHeight="1" ht="18.75">
      <c r="A314" s="2" t="s">
        <v>287</v>
      </c>
      <c r="B314" s="9" t="s">
        <v>343</v>
      </c>
      <c r="C314" s="2" t="s">
        <v>420</v>
      </c>
      <c r="D314" s="30" t="s">
        <v>173</v>
      </c>
    </row>
    <row x14ac:dyDescent="0.25" r="315" customHeight="1" ht="18.75">
      <c r="A315" s="2" t="s">
        <v>287</v>
      </c>
      <c r="B315" s="3" t="s">
        <v>421</v>
      </c>
      <c r="C315" s="2" t="s">
        <v>422</v>
      </c>
      <c r="D315" s="30" t="s">
        <v>152</v>
      </c>
    </row>
    <row x14ac:dyDescent="0.25" r="316" customHeight="1" ht="18.75">
      <c r="A316" s="2" t="s">
        <v>287</v>
      </c>
      <c r="B316" s="9" t="s">
        <v>423</v>
      </c>
      <c r="C316" s="2" t="s">
        <v>424</v>
      </c>
      <c r="D316" s="30" t="s">
        <v>155</v>
      </c>
    </row>
    <row x14ac:dyDescent="0.25" r="317" customHeight="1" ht="18.75">
      <c r="A317" s="2" t="s">
        <v>287</v>
      </c>
      <c r="B317" s="9" t="s">
        <v>318</v>
      </c>
      <c r="C317" s="2" t="s">
        <v>425</v>
      </c>
      <c r="D317" s="30" t="s">
        <v>173</v>
      </c>
    </row>
    <row x14ac:dyDescent="0.25" r="318" customHeight="1" ht="18.75">
      <c r="A318" s="2" t="s">
        <v>287</v>
      </c>
      <c r="B318" s="9" t="s">
        <v>315</v>
      </c>
      <c r="C318" s="2" t="s">
        <v>426</v>
      </c>
      <c r="D318" s="30" t="s">
        <v>154</v>
      </c>
    </row>
    <row x14ac:dyDescent="0.25" r="319" customHeight="1" ht="18.75">
      <c r="A319" s="2" t="s">
        <v>287</v>
      </c>
      <c r="B319" s="9" t="s">
        <v>343</v>
      </c>
      <c r="C319" s="2" t="s">
        <v>427</v>
      </c>
      <c r="D319" s="30" t="s">
        <v>154</v>
      </c>
    </row>
    <row x14ac:dyDescent="0.25" r="320" customHeight="1" ht="18.75">
      <c r="A320" s="2" t="s">
        <v>287</v>
      </c>
      <c r="B320" s="9" t="s">
        <v>404</v>
      </c>
      <c r="C320" s="2" t="s">
        <v>428</v>
      </c>
      <c r="D320" s="30" t="s">
        <v>173</v>
      </c>
    </row>
    <row x14ac:dyDescent="0.25" r="321" customHeight="1" ht="18.75">
      <c r="A321" s="2" t="s">
        <v>287</v>
      </c>
      <c r="B321" s="9" t="s">
        <v>404</v>
      </c>
      <c r="C321" s="2" t="s">
        <v>429</v>
      </c>
      <c r="D321" s="30" t="s">
        <v>173</v>
      </c>
    </row>
    <row x14ac:dyDescent="0.25" r="322" customHeight="1" ht="18.75">
      <c r="A322" s="2" t="s">
        <v>287</v>
      </c>
      <c r="B322" s="9" t="s">
        <v>407</v>
      </c>
      <c r="C322" s="2" t="s">
        <v>430</v>
      </c>
      <c r="D322" s="30" t="s">
        <v>154</v>
      </c>
    </row>
    <row x14ac:dyDescent="0.25" r="323" customHeight="1" ht="18.75">
      <c r="A323" s="2" t="s">
        <v>287</v>
      </c>
      <c r="B323" s="9" t="s">
        <v>404</v>
      </c>
      <c r="C323" s="2" t="s">
        <v>431</v>
      </c>
      <c r="D323" s="30" t="s">
        <v>173</v>
      </c>
    </row>
    <row x14ac:dyDescent="0.25" r="324" customHeight="1" ht="18.75">
      <c r="A324" s="2" t="s">
        <v>287</v>
      </c>
      <c r="B324" s="9" t="s">
        <v>396</v>
      </c>
      <c r="C324" s="2" t="s">
        <v>432</v>
      </c>
      <c r="D324" s="30" t="s">
        <v>173</v>
      </c>
    </row>
    <row x14ac:dyDescent="0.25" r="325" customHeight="1" ht="18.75">
      <c r="A325" s="2" t="s">
        <v>287</v>
      </c>
      <c r="B325" s="9" t="s">
        <v>304</v>
      </c>
      <c r="C325" s="2" t="s">
        <v>433</v>
      </c>
      <c r="D325" s="30" t="s">
        <v>173</v>
      </c>
    </row>
    <row x14ac:dyDescent="0.25" r="326" customHeight="1" ht="18.75">
      <c r="A326" s="2" t="s">
        <v>287</v>
      </c>
      <c r="B326" s="9" t="s">
        <v>309</v>
      </c>
      <c r="C326" s="2" t="s">
        <v>434</v>
      </c>
      <c r="D326" s="30" t="s">
        <v>154</v>
      </c>
    </row>
    <row x14ac:dyDescent="0.25" r="327" customHeight="1" ht="18.75">
      <c r="A327" s="2" t="s">
        <v>287</v>
      </c>
      <c r="B327" s="9" t="s">
        <v>404</v>
      </c>
      <c r="C327" s="2" t="s">
        <v>435</v>
      </c>
      <c r="D327" s="30" t="s">
        <v>153</v>
      </c>
    </row>
    <row x14ac:dyDescent="0.25" r="328" customHeight="1" ht="18.75">
      <c r="A328" s="2" t="s">
        <v>287</v>
      </c>
      <c r="B328" s="9" t="s">
        <v>364</v>
      </c>
      <c r="C328" s="2" t="s">
        <v>436</v>
      </c>
      <c r="D328" s="30" t="s">
        <v>154</v>
      </c>
    </row>
    <row x14ac:dyDescent="0.25" r="329" customHeight="1" ht="18.75">
      <c r="A329" s="2" t="s">
        <v>287</v>
      </c>
      <c r="B329" s="9" t="s">
        <v>404</v>
      </c>
      <c r="C329" s="2" t="s">
        <v>437</v>
      </c>
      <c r="D329" s="30" t="s">
        <v>154</v>
      </c>
    </row>
    <row x14ac:dyDescent="0.25" r="330" customHeight="1" ht="18.75">
      <c r="A330" s="2" t="s">
        <v>287</v>
      </c>
      <c r="B330" s="9" t="s">
        <v>404</v>
      </c>
      <c r="C330" s="2" t="s">
        <v>438</v>
      </c>
      <c r="D330" s="30" t="s">
        <v>173</v>
      </c>
    </row>
    <row x14ac:dyDescent="0.25" r="331" customHeight="1" ht="18.75">
      <c r="A331" s="2" t="s">
        <v>287</v>
      </c>
      <c r="B331" s="9" t="s">
        <v>404</v>
      </c>
      <c r="C331" s="2" t="s">
        <v>439</v>
      </c>
      <c r="D331" s="30" t="s">
        <v>173</v>
      </c>
    </row>
    <row x14ac:dyDescent="0.25" r="332" customHeight="1" ht="18.75">
      <c r="A332" s="2" t="s">
        <v>287</v>
      </c>
      <c r="B332" s="9" t="s">
        <v>396</v>
      </c>
      <c r="C332" s="2" t="s">
        <v>440</v>
      </c>
      <c r="D332" s="30" t="s">
        <v>173</v>
      </c>
    </row>
    <row x14ac:dyDescent="0.25" r="333" customHeight="1" ht="18.75">
      <c r="A333" s="2" t="s">
        <v>287</v>
      </c>
      <c r="B333" s="9" t="s">
        <v>313</v>
      </c>
      <c r="C333" s="2" t="s">
        <v>441</v>
      </c>
      <c r="D333" s="30" t="s">
        <v>154</v>
      </c>
    </row>
    <row x14ac:dyDescent="0.25" r="334" customHeight="1" ht="18.75">
      <c r="A334" s="2" t="s">
        <v>287</v>
      </c>
      <c r="B334" s="9" t="s">
        <v>322</v>
      </c>
      <c r="C334" s="2" t="s">
        <v>442</v>
      </c>
      <c r="D334" s="30" t="s">
        <v>173</v>
      </c>
    </row>
    <row x14ac:dyDescent="0.25" r="335" customHeight="1" ht="18.75">
      <c r="A335" s="2" t="s">
        <v>287</v>
      </c>
      <c r="B335" s="9" t="s">
        <v>343</v>
      </c>
      <c r="C335" s="2" t="s">
        <v>443</v>
      </c>
      <c r="D335" s="30" t="s">
        <v>154</v>
      </c>
    </row>
    <row x14ac:dyDescent="0.25" r="336" customHeight="1" ht="18.75">
      <c r="A336" s="2" t="s">
        <v>287</v>
      </c>
      <c r="B336" s="9" t="s">
        <v>396</v>
      </c>
      <c r="C336" s="2" t="s">
        <v>444</v>
      </c>
      <c r="D336" s="30" t="s">
        <v>173</v>
      </c>
    </row>
    <row x14ac:dyDescent="0.25" r="337" customHeight="1" ht="18.75">
      <c r="A337" s="2" t="s">
        <v>287</v>
      </c>
      <c r="B337" s="9" t="s">
        <v>318</v>
      </c>
      <c r="C337" s="2" t="s">
        <v>445</v>
      </c>
      <c r="D337" s="30" t="s">
        <v>154</v>
      </c>
    </row>
    <row x14ac:dyDescent="0.25" r="338" customHeight="1" ht="18.75">
      <c r="A338" s="2" t="s">
        <v>287</v>
      </c>
      <c r="B338" s="9" t="s">
        <v>366</v>
      </c>
      <c r="C338" s="2" t="s">
        <v>446</v>
      </c>
      <c r="D338" s="30" t="s">
        <v>173</v>
      </c>
    </row>
    <row x14ac:dyDescent="0.25" r="339" customHeight="1" ht="18.75">
      <c r="A339" s="2" t="s">
        <v>287</v>
      </c>
      <c r="B339" s="9" t="s">
        <v>290</v>
      </c>
      <c r="C339" s="2" t="s">
        <v>447</v>
      </c>
      <c r="D339" s="30" t="s">
        <v>173</v>
      </c>
    </row>
    <row x14ac:dyDescent="0.25" r="340" customHeight="1" ht="18.75">
      <c r="A340" s="2" t="s">
        <v>287</v>
      </c>
      <c r="B340" s="9" t="s">
        <v>302</v>
      </c>
      <c r="C340" s="2" t="s">
        <v>448</v>
      </c>
      <c r="D340" s="30" t="s">
        <v>286</v>
      </c>
    </row>
    <row x14ac:dyDescent="0.25" r="341" customHeight="1" ht="18.75">
      <c r="A341" s="2" t="s">
        <v>287</v>
      </c>
      <c r="B341" s="9" t="s">
        <v>322</v>
      </c>
      <c r="C341" s="2" t="s">
        <v>449</v>
      </c>
      <c r="D341" s="30" t="s">
        <v>154</v>
      </c>
    </row>
    <row x14ac:dyDescent="0.25" r="342" customHeight="1" ht="18.75">
      <c r="A342" s="2" t="s">
        <v>287</v>
      </c>
      <c r="B342" s="9" t="s">
        <v>423</v>
      </c>
      <c r="C342" s="2" t="s">
        <v>450</v>
      </c>
      <c r="D342" s="30" t="s">
        <v>154</v>
      </c>
    </row>
    <row x14ac:dyDescent="0.25" r="343" customHeight="1" ht="18.75">
      <c r="A343" s="2" t="s">
        <v>287</v>
      </c>
      <c r="B343" s="9" t="s">
        <v>322</v>
      </c>
      <c r="C343" s="2" t="s">
        <v>451</v>
      </c>
      <c r="D343" s="30" t="s">
        <v>208</v>
      </c>
    </row>
    <row x14ac:dyDescent="0.25" r="344" customHeight="1" ht="18.75">
      <c r="A344" s="2" t="s">
        <v>287</v>
      </c>
      <c r="B344" s="9" t="s">
        <v>364</v>
      </c>
      <c r="C344" s="2" t="s">
        <v>452</v>
      </c>
      <c r="D344" s="30" t="s">
        <v>154</v>
      </c>
    </row>
    <row x14ac:dyDescent="0.25" r="345" customHeight="1" ht="18.75">
      <c r="A345" s="2" t="s">
        <v>287</v>
      </c>
      <c r="B345" s="9" t="s">
        <v>394</v>
      </c>
      <c r="C345" s="2" t="s">
        <v>453</v>
      </c>
      <c r="D345" s="30" t="s">
        <v>154</v>
      </c>
    </row>
    <row x14ac:dyDescent="0.25" r="346" customHeight="1" ht="18.75">
      <c r="A346" s="2" t="s">
        <v>287</v>
      </c>
      <c r="B346" s="9" t="s">
        <v>318</v>
      </c>
      <c r="C346" s="2" t="s">
        <v>454</v>
      </c>
      <c r="D346" s="30" t="s">
        <v>154</v>
      </c>
    </row>
    <row x14ac:dyDescent="0.25" r="347" customHeight="1" ht="18.75">
      <c r="A347" s="2" t="s">
        <v>287</v>
      </c>
      <c r="B347" s="9" t="s">
        <v>292</v>
      </c>
      <c r="C347" s="2" t="s">
        <v>455</v>
      </c>
      <c r="D347" s="30" t="s">
        <v>154</v>
      </c>
    </row>
    <row x14ac:dyDescent="0.25" r="348" customHeight="1" ht="18.75">
      <c r="A348" s="2" t="s">
        <v>287</v>
      </c>
      <c r="B348" s="9" t="s">
        <v>456</v>
      </c>
      <c r="C348" s="2" t="s">
        <v>457</v>
      </c>
      <c r="D348" s="30" t="s">
        <v>153</v>
      </c>
    </row>
    <row x14ac:dyDescent="0.25" r="349" customHeight="1" ht="18.75">
      <c r="A349" s="2" t="s">
        <v>287</v>
      </c>
      <c r="B349" s="9" t="s">
        <v>288</v>
      </c>
      <c r="C349" s="2" t="s">
        <v>458</v>
      </c>
      <c r="D349" s="30" t="s">
        <v>173</v>
      </c>
    </row>
    <row x14ac:dyDescent="0.25" r="350" customHeight="1" ht="18.75">
      <c r="A350" s="2" t="s">
        <v>287</v>
      </c>
      <c r="B350" s="9" t="s">
        <v>336</v>
      </c>
      <c r="C350" s="2" t="s">
        <v>459</v>
      </c>
      <c r="D350" s="30" t="s">
        <v>173</v>
      </c>
    </row>
    <row x14ac:dyDescent="0.25" r="351" customHeight="1" ht="18.75">
      <c r="A351" s="2" t="s">
        <v>287</v>
      </c>
      <c r="B351" s="9" t="s">
        <v>423</v>
      </c>
      <c r="C351" s="2" t="s">
        <v>460</v>
      </c>
      <c r="D351" s="30" t="s">
        <v>154</v>
      </c>
    </row>
    <row x14ac:dyDescent="0.25" r="352" customHeight="1" ht="18.75">
      <c r="A352" s="2" t="s">
        <v>287</v>
      </c>
      <c r="B352" s="9" t="s">
        <v>413</v>
      </c>
      <c r="C352" s="2" t="s">
        <v>461</v>
      </c>
      <c r="D352" s="30" t="s">
        <v>154</v>
      </c>
    </row>
    <row x14ac:dyDescent="0.25" r="353" customHeight="1" ht="18.75">
      <c r="A353" s="2" t="s">
        <v>287</v>
      </c>
      <c r="B353" s="9" t="s">
        <v>318</v>
      </c>
      <c r="C353" s="2" t="s">
        <v>462</v>
      </c>
      <c r="D353" s="30" t="s">
        <v>154</v>
      </c>
    </row>
    <row x14ac:dyDescent="0.25" r="354" customHeight="1" ht="18.75">
      <c r="A354" s="2" t="s">
        <v>287</v>
      </c>
      <c r="B354" s="9" t="s">
        <v>343</v>
      </c>
      <c r="C354" s="2" t="s">
        <v>463</v>
      </c>
      <c r="D354" s="30" t="s">
        <v>175</v>
      </c>
    </row>
    <row x14ac:dyDescent="0.25" r="355" customHeight="1" ht="18.75">
      <c r="A355" s="2" t="s">
        <v>287</v>
      </c>
      <c r="B355" s="9" t="s">
        <v>302</v>
      </c>
      <c r="C355" s="2" t="s">
        <v>464</v>
      </c>
      <c r="D355" s="30" t="s">
        <v>154</v>
      </c>
    </row>
    <row x14ac:dyDescent="0.25" r="356" customHeight="1" ht="18.75">
      <c r="A356" s="2" t="s">
        <v>287</v>
      </c>
      <c r="B356" s="9" t="s">
        <v>366</v>
      </c>
      <c r="C356" s="2" t="s">
        <v>465</v>
      </c>
      <c r="D356" s="30" t="s">
        <v>154</v>
      </c>
    </row>
    <row x14ac:dyDescent="0.25" r="357" customHeight="1" ht="18.75">
      <c r="A357" s="2" t="s">
        <v>287</v>
      </c>
      <c r="B357" s="9" t="s">
        <v>302</v>
      </c>
      <c r="C357" s="2" t="s">
        <v>466</v>
      </c>
      <c r="D357" s="30" t="s">
        <v>154</v>
      </c>
    </row>
    <row x14ac:dyDescent="0.25" r="358" customHeight="1" ht="18.75">
      <c r="A358" s="2" t="s">
        <v>287</v>
      </c>
      <c r="B358" s="9" t="s">
        <v>302</v>
      </c>
      <c r="C358" s="2" t="s">
        <v>467</v>
      </c>
      <c r="D358" s="30" t="s">
        <v>154</v>
      </c>
    </row>
    <row x14ac:dyDescent="0.25" r="359" customHeight="1" ht="18.75">
      <c r="A359" s="2" t="s">
        <v>287</v>
      </c>
      <c r="B359" s="9" t="s">
        <v>302</v>
      </c>
      <c r="C359" s="2" t="s">
        <v>468</v>
      </c>
      <c r="D359" s="30" t="s">
        <v>154</v>
      </c>
    </row>
    <row x14ac:dyDescent="0.25" r="360" customHeight="1" ht="18.75">
      <c r="A360" s="2" t="s">
        <v>287</v>
      </c>
      <c r="B360" s="9" t="s">
        <v>302</v>
      </c>
      <c r="C360" s="2" t="s">
        <v>469</v>
      </c>
      <c r="D360" s="30" t="s">
        <v>208</v>
      </c>
    </row>
    <row x14ac:dyDescent="0.25" r="361" customHeight="1" ht="18.75">
      <c r="A361" s="2" t="s">
        <v>287</v>
      </c>
      <c r="B361" s="9" t="s">
        <v>374</v>
      </c>
      <c r="C361" s="2" t="s">
        <v>470</v>
      </c>
      <c r="D361" s="30" t="s">
        <v>154</v>
      </c>
    </row>
    <row x14ac:dyDescent="0.25" r="362" customHeight="1" ht="18.75">
      <c r="A362" s="2" t="s">
        <v>287</v>
      </c>
      <c r="B362" s="9" t="s">
        <v>302</v>
      </c>
      <c r="C362" s="2" t="s">
        <v>471</v>
      </c>
      <c r="D362" s="30" t="s">
        <v>173</v>
      </c>
    </row>
    <row x14ac:dyDescent="0.25" r="363" customHeight="1" ht="18.75">
      <c r="A363" s="2" t="s">
        <v>287</v>
      </c>
      <c r="B363" s="9" t="s">
        <v>396</v>
      </c>
      <c r="C363" s="2" t="s">
        <v>472</v>
      </c>
      <c r="D363" s="30" t="s">
        <v>173</v>
      </c>
    </row>
    <row x14ac:dyDescent="0.25" r="364" customHeight="1" ht="18.75">
      <c r="A364" s="2" t="s">
        <v>287</v>
      </c>
      <c r="B364" s="9" t="s">
        <v>396</v>
      </c>
      <c r="C364" s="2" t="s">
        <v>473</v>
      </c>
      <c r="D364" s="30" t="s">
        <v>173</v>
      </c>
    </row>
    <row x14ac:dyDescent="0.25" r="365" customHeight="1" ht="18.75">
      <c r="A365" s="2" t="s">
        <v>287</v>
      </c>
      <c r="B365" s="9" t="s">
        <v>413</v>
      </c>
      <c r="C365" s="2" t="s">
        <v>474</v>
      </c>
      <c r="D365" s="30" t="s">
        <v>154</v>
      </c>
    </row>
    <row x14ac:dyDescent="0.25" r="366" customHeight="1" ht="18.75">
      <c r="A366" s="2" t="s">
        <v>287</v>
      </c>
      <c r="B366" s="9" t="s">
        <v>394</v>
      </c>
      <c r="C366" s="2" t="s">
        <v>475</v>
      </c>
      <c r="D366" s="30" t="s">
        <v>154</v>
      </c>
    </row>
    <row x14ac:dyDescent="0.25" r="367" customHeight="1" ht="18.75">
      <c r="A367" s="2" t="s">
        <v>287</v>
      </c>
      <c r="B367" s="9" t="s">
        <v>313</v>
      </c>
      <c r="C367" s="2" t="s">
        <v>476</v>
      </c>
      <c r="D367" s="30" t="s">
        <v>173</v>
      </c>
    </row>
    <row x14ac:dyDescent="0.25" r="368" customHeight="1" ht="18.75">
      <c r="A368" s="2" t="s">
        <v>287</v>
      </c>
      <c r="B368" s="9" t="s">
        <v>404</v>
      </c>
      <c r="C368" s="2" t="s">
        <v>477</v>
      </c>
      <c r="D368" s="30" t="s">
        <v>173</v>
      </c>
    </row>
    <row x14ac:dyDescent="0.25" r="369" customHeight="1" ht="18.75">
      <c r="A369" s="2" t="s">
        <v>287</v>
      </c>
      <c r="B369" s="9" t="s">
        <v>404</v>
      </c>
      <c r="C369" s="2" t="s">
        <v>478</v>
      </c>
      <c r="D369" s="30" t="s">
        <v>173</v>
      </c>
    </row>
    <row x14ac:dyDescent="0.25" r="370" customHeight="1" ht="18.75">
      <c r="A370" s="2" t="s">
        <v>287</v>
      </c>
      <c r="B370" s="9" t="s">
        <v>404</v>
      </c>
      <c r="C370" s="2" t="s">
        <v>479</v>
      </c>
      <c r="D370" s="30" t="s">
        <v>173</v>
      </c>
    </row>
    <row x14ac:dyDescent="0.25" r="371" customHeight="1" ht="18.75">
      <c r="A371" s="2" t="s">
        <v>287</v>
      </c>
      <c r="B371" s="9" t="s">
        <v>404</v>
      </c>
      <c r="C371" s="2" t="s">
        <v>480</v>
      </c>
      <c r="D371" s="30" t="s">
        <v>153</v>
      </c>
    </row>
    <row x14ac:dyDescent="0.25" r="372" customHeight="1" ht="18.75">
      <c r="A372" s="2" t="s">
        <v>287</v>
      </c>
      <c r="B372" s="9" t="s">
        <v>404</v>
      </c>
      <c r="C372" s="2" t="s">
        <v>481</v>
      </c>
      <c r="D372" s="30" t="s">
        <v>173</v>
      </c>
    </row>
    <row x14ac:dyDescent="0.25" r="373" customHeight="1" ht="18.75">
      <c r="A373" s="2" t="s">
        <v>287</v>
      </c>
      <c r="B373" s="9" t="s">
        <v>404</v>
      </c>
      <c r="C373" s="2" t="s">
        <v>482</v>
      </c>
      <c r="D373" s="30" t="s">
        <v>208</v>
      </c>
    </row>
    <row x14ac:dyDescent="0.25" r="374" customHeight="1" ht="18.75">
      <c r="A374" s="2" t="s">
        <v>287</v>
      </c>
      <c r="B374" s="9" t="s">
        <v>404</v>
      </c>
      <c r="C374" s="2" t="s">
        <v>483</v>
      </c>
      <c r="D374" s="30" t="s">
        <v>173</v>
      </c>
    </row>
    <row x14ac:dyDescent="0.25" r="375" customHeight="1" ht="18.75">
      <c r="A375" s="2" t="s">
        <v>287</v>
      </c>
      <c r="B375" s="9" t="s">
        <v>404</v>
      </c>
      <c r="C375" s="2" t="s">
        <v>484</v>
      </c>
      <c r="D375" s="30" t="s">
        <v>173</v>
      </c>
    </row>
    <row x14ac:dyDescent="0.25" r="376" customHeight="1" ht="18.75">
      <c r="A376" s="2" t="s">
        <v>287</v>
      </c>
      <c r="B376" s="9" t="s">
        <v>404</v>
      </c>
      <c r="C376" s="2" t="s">
        <v>485</v>
      </c>
      <c r="D376" s="30" t="s">
        <v>173</v>
      </c>
    </row>
    <row x14ac:dyDescent="0.25" r="377" customHeight="1" ht="18.75">
      <c r="A377" s="2" t="s">
        <v>287</v>
      </c>
      <c r="B377" s="9" t="s">
        <v>404</v>
      </c>
      <c r="C377" s="2" t="s">
        <v>486</v>
      </c>
      <c r="D377" s="30" t="s">
        <v>173</v>
      </c>
    </row>
    <row x14ac:dyDescent="0.25" r="378" customHeight="1" ht="18.75">
      <c r="A378" s="2" t="s">
        <v>287</v>
      </c>
      <c r="B378" s="9" t="s">
        <v>404</v>
      </c>
      <c r="C378" s="2" t="s">
        <v>487</v>
      </c>
      <c r="D378" s="30" t="s">
        <v>173</v>
      </c>
    </row>
    <row x14ac:dyDescent="0.25" r="379" customHeight="1" ht="18.75">
      <c r="A379" s="2" t="s">
        <v>287</v>
      </c>
      <c r="B379" s="9" t="s">
        <v>404</v>
      </c>
      <c r="C379" s="2" t="s">
        <v>488</v>
      </c>
      <c r="D379" s="30" t="s">
        <v>173</v>
      </c>
    </row>
    <row x14ac:dyDescent="0.25" r="380" customHeight="1" ht="18.75">
      <c r="A380" s="2" t="s">
        <v>287</v>
      </c>
      <c r="B380" s="9" t="s">
        <v>404</v>
      </c>
      <c r="C380" s="2" t="s">
        <v>489</v>
      </c>
      <c r="D380" s="30" t="s">
        <v>173</v>
      </c>
    </row>
    <row x14ac:dyDescent="0.25" r="381" customHeight="1" ht="18.75">
      <c r="A381" s="2" t="s">
        <v>287</v>
      </c>
      <c r="B381" s="9" t="s">
        <v>404</v>
      </c>
      <c r="C381" s="2" t="s">
        <v>490</v>
      </c>
      <c r="D381" s="30" t="s">
        <v>173</v>
      </c>
    </row>
    <row x14ac:dyDescent="0.25" r="382" customHeight="1" ht="18.75">
      <c r="A382" s="2" t="s">
        <v>287</v>
      </c>
      <c r="B382" s="9" t="s">
        <v>404</v>
      </c>
      <c r="C382" s="2" t="s">
        <v>491</v>
      </c>
      <c r="D382" s="30" t="s">
        <v>173</v>
      </c>
    </row>
    <row x14ac:dyDescent="0.25" r="383" customHeight="1" ht="18.75">
      <c r="A383" s="2" t="s">
        <v>287</v>
      </c>
      <c r="B383" s="9" t="s">
        <v>404</v>
      </c>
      <c r="C383" s="2" t="s">
        <v>492</v>
      </c>
      <c r="D383" s="30" t="s">
        <v>173</v>
      </c>
    </row>
    <row x14ac:dyDescent="0.25" r="384" customHeight="1" ht="18.75">
      <c r="A384" s="2" t="s">
        <v>287</v>
      </c>
      <c r="B384" s="9" t="s">
        <v>404</v>
      </c>
      <c r="C384" s="2" t="s">
        <v>493</v>
      </c>
      <c r="D384" s="30" t="s">
        <v>173</v>
      </c>
    </row>
    <row x14ac:dyDescent="0.25" r="385" customHeight="1" ht="18.75">
      <c r="A385" s="2" t="s">
        <v>287</v>
      </c>
      <c r="B385" s="9" t="s">
        <v>404</v>
      </c>
      <c r="C385" s="2" t="s">
        <v>494</v>
      </c>
      <c r="D385" s="30" t="s">
        <v>173</v>
      </c>
    </row>
    <row x14ac:dyDescent="0.25" r="386" customHeight="1" ht="18.75">
      <c r="A386" s="2" t="s">
        <v>287</v>
      </c>
      <c r="B386" s="9" t="s">
        <v>404</v>
      </c>
      <c r="C386" s="2" t="s">
        <v>495</v>
      </c>
      <c r="D386" s="30" t="s">
        <v>173</v>
      </c>
    </row>
    <row x14ac:dyDescent="0.25" r="387" customHeight="1" ht="18.75">
      <c r="A387" s="2" t="s">
        <v>287</v>
      </c>
      <c r="B387" s="9" t="s">
        <v>404</v>
      </c>
      <c r="C387" s="2" t="s">
        <v>496</v>
      </c>
      <c r="D387" s="30" t="s">
        <v>173</v>
      </c>
    </row>
    <row x14ac:dyDescent="0.25" r="388" customHeight="1" ht="18.75">
      <c r="A388" s="2" t="s">
        <v>287</v>
      </c>
      <c r="B388" s="9" t="s">
        <v>404</v>
      </c>
      <c r="C388" s="2" t="s">
        <v>497</v>
      </c>
      <c r="D388" s="30" t="s">
        <v>173</v>
      </c>
    </row>
    <row x14ac:dyDescent="0.25" r="389" customHeight="1" ht="18.75">
      <c r="A389" s="2" t="s">
        <v>287</v>
      </c>
      <c r="B389" s="9" t="s">
        <v>404</v>
      </c>
      <c r="C389" s="2" t="s">
        <v>498</v>
      </c>
      <c r="D389" s="30" t="s">
        <v>173</v>
      </c>
    </row>
    <row x14ac:dyDescent="0.25" r="390" customHeight="1" ht="18.75">
      <c r="A390" s="2" t="s">
        <v>287</v>
      </c>
      <c r="B390" s="9" t="s">
        <v>404</v>
      </c>
      <c r="C390" s="2" t="s">
        <v>499</v>
      </c>
      <c r="D390" s="30" t="s">
        <v>173</v>
      </c>
    </row>
    <row x14ac:dyDescent="0.25" r="391" customHeight="1" ht="18.75">
      <c r="A391" s="2" t="s">
        <v>287</v>
      </c>
      <c r="B391" s="9" t="s">
        <v>404</v>
      </c>
      <c r="C391" s="2" t="s">
        <v>500</v>
      </c>
      <c r="D391" s="30" t="s">
        <v>173</v>
      </c>
    </row>
    <row x14ac:dyDescent="0.25" r="392" customHeight="1" ht="18.75">
      <c r="A392" s="2" t="s">
        <v>287</v>
      </c>
      <c r="B392" s="9" t="s">
        <v>404</v>
      </c>
      <c r="C392" s="2" t="s">
        <v>501</v>
      </c>
      <c r="D392" s="30" t="s">
        <v>173</v>
      </c>
    </row>
    <row x14ac:dyDescent="0.25" r="393" customHeight="1" ht="18.75">
      <c r="A393" s="2" t="s">
        <v>287</v>
      </c>
      <c r="B393" s="9" t="s">
        <v>404</v>
      </c>
      <c r="C393" s="2" t="s">
        <v>502</v>
      </c>
      <c r="D393" s="30" t="s">
        <v>173</v>
      </c>
    </row>
    <row x14ac:dyDescent="0.25" r="394" customHeight="1" ht="18.75">
      <c r="A394" s="2" t="s">
        <v>287</v>
      </c>
      <c r="B394" s="9" t="s">
        <v>404</v>
      </c>
      <c r="C394" s="2" t="s">
        <v>503</v>
      </c>
      <c r="D394" s="30" t="s">
        <v>173</v>
      </c>
    </row>
    <row x14ac:dyDescent="0.25" r="395" customHeight="1" ht="18.75">
      <c r="A395" s="2" t="s">
        <v>287</v>
      </c>
      <c r="B395" s="9" t="s">
        <v>404</v>
      </c>
      <c r="C395" s="2" t="s">
        <v>504</v>
      </c>
      <c r="D395" s="30" t="s">
        <v>173</v>
      </c>
    </row>
    <row x14ac:dyDescent="0.25" r="396" customHeight="1" ht="18.75">
      <c r="A396" s="2" t="s">
        <v>287</v>
      </c>
      <c r="B396" s="9" t="s">
        <v>404</v>
      </c>
      <c r="C396" s="2" t="s">
        <v>505</v>
      </c>
      <c r="D396" s="30" t="s">
        <v>173</v>
      </c>
    </row>
    <row x14ac:dyDescent="0.25" r="397" customHeight="1" ht="18.75">
      <c r="A397" s="2" t="s">
        <v>287</v>
      </c>
      <c r="B397" s="9" t="s">
        <v>402</v>
      </c>
      <c r="C397" s="2" t="s">
        <v>506</v>
      </c>
      <c r="D397" s="30" t="s">
        <v>173</v>
      </c>
    </row>
    <row x14ac:dyDescent="0.25" r="398" customHeight="1" ht="18.75">
      <c r="A398" s="2" t="s">
        <v>287</v>
      </c>
      <c r="B398" s="9" t="s">
        <v>404</v>
      </c>
      <c r="C398" s="2" t="s">
        <v>507</v>
      </c>
      <c r="D398" s="30" t="s">
        <v>173</v>
      </c>
    </row>
    <row x14ac:dyDescent="0.25" r="399" customHeight="1" ht="18.75">
      <c r="A399" s="2" t="s">
        <v>287</v>
      </c>
      <c r="B399" s="9" t="s">
        <v>404</v>
      </c>
      <c r="C399" s="2" t="s">
        <v>508</v>
      </c>
      <c r="D399" s="30" t="s">
        <v>173</v>
      </c>
    </row>
    <row x14ac:dyDescent="0.25" r="400" customHeight="1" ht="18.75">
      <c r="A400" s="2" t="s">
        <v>287</v>
      </c>
      <c r="B400" s="9" t="s">
        <v>402</v>
      </c>
      <c r="C400" s="2" t="s">
        <v>509</v>
      </c>
      <c r="D400" s="30" t="s">
        <v>173</v>
      </c>
    </row>
    <row x14ac:dyDescent="0.25" r="401" customHeight="1" ht="18.75">
      <c r="A401" s="2" t="s">
        <v>287</v>
      </c>
      <c r="B401" s="9" t="s">
        <v>292</v>
      </c>
      <c r="C401" s="2" t="s">
        <v>510</v>
      </c>
      <c r="D401" s="30" t="s">
        <v>173</v>
      </c>
    </row>
    <row x14ac:dyDescent="0.25" r="402" customHeight="1" ht="18.75">
      <c r="A402" s="2" t="s">
        <v>287</v>
      </c>
      <c r="B402" s="9" t="s">
        <v>404</v>
      </c>
      <c r="C402" s="2" t="s">
        <v>511</v>
      </c>
      <c r="D402" s="30" t="s">
        <v>173</v>
      </c>
    </row>
    <row x14ac:dyDescent="0.25" r="403" customHeight="1" ht="18.75">
      <c r="A403" s="2" t="s">
        <v>287</v>
      </c>
      <c r="B403" s="9" t="s">
        <v>302</v>
      </c>
      <c r="C403" s="2" t="s">
        <v>512</v>
      </c>
      <c r="D403" s="30" t="s">
        <v>154</v>
      </c>
    </row>
    <row x14ac:dyDescent="0.25" r="404" customHeight="1" ht="18.75">
      <c r="A404" s="2" t="s">
        <v>287</v>
      </c>
      <c r="B404" s="9" t="s">
        <v>364</v>
      </c>
      <c r="C404" s="2" t="s">
        <v>513</v>
      </c>
      <c r="D404" s="30" t="s">
        <v>173</v>
      </c>
    </row>
    <row x14ac:dyDescent="0.25" r="405" customHeight="1" ht="18.75">
      <c r="A405" s="2" t="s">
        <v>287</v>
      </c>
      <c r="B405" s="9" t="s">
        <v>304</v>
      </c>
      <c r="C405" s="2" t="s">
        <v>514</v>
      </c>
      <c r="D405" s="30" t="s">
        <v>173</v>
      </c>
    </row>
    <row x14ac:dyDescent="0.25" r="406" customHeight="1" ht="18.75">
      <c r="A406" s="2" t="s">
        <v>287</v>
      </c>
      <c r="B406" s="9" t="s">
        <v>402</v>
      </c>
      <c r="C406" s="2" t="s">
        <v>515</v>
      </c>
      <c r="D406" s="30" t="s">
        <v>173</v>
      </c>
    </row>
    <row x14ac:dyDescent="0.25" r="407" customHeight="1" ht="18.75">
      <c r="A407" s="2" t="s">
        <v>287</v>
      </c>
      <c r="B407" s="9" t="s">
        <v>304</v>
      </c>
      <c r="C407" s="2" t="s">
        <v>516</v>
      </c>
      <c r="D407" s="30" t="s">
        <v>154</v>
      </c>
    </row>
    <row x14ac:dyDescent="0.25" r="408" customHeight="1" ht="18.75">
      <c r="A408" s="2" t="s">
        <v>287</v>
      </c>
      <c r="B408" s="9" t="s">
        <v>402</v>
      </c>
      <c r="C408" s="2" t="s">
        <v>517</v>
      </c>
      <c r="D408" s="30" t="s">
        <v>173</v>
      </c>
    </row>
    <row x14ac:dyDescent="0.25" r="409" customHeight="1" ht="18.75">
      <c r="A409" s="2" t="s">
        <v>287</v>
      </c>
      <c r="B409" s="9" t="s">
        <v>394</v>
      </c>
      <c r="C409" s="2" t="s">
        <v>518</v>
      </c>
      <c r="D409" s="30" t="s">
        <v>154</v>
      </c>
    </row>
    <row x14ac:dyDescent="0.25" r="410" customHeight="1" ht="18.75">
      <c r="A410" s="2" t="s">
        <v>287</v>
      </c>
      <c r="B410" s="9" t="s">
        <v>302</v>
      </c>
      <c r="C410" s="2" t="s">
        <v>519</v>
      </c>
      <c r="D410" s="30" t="s">
        <v>154</v>
      </c>
    </row>
    <row x14ac:dyDescent="0.25" r="411" customHeight="1" ht="18.75">
      <c r="A411" s="2" t="s">
        <v>287</v>
      </c>
      <c r="B411" s="9" t="s">
        <v>396</v>
      </c>
      <c r="C411" s="2" t="s">
        <v>520</v>
      </c>
      <c r="D411" s="30" t="s">
        <v>173</v>
      </c>
    </row>
    <row x14ac:dyDescent="0.25" r="412" customHeight="1" ht="18.75">
      <c r="A412" s="2" t="s">
        <v>287</v>
      </c>
      <c r="B412" s="9" t="s">
        <v>407</v>
      </c>
      <c r="C412" s="2" t="s">
        <v>521</v>
      </c>
      <c r="D412" s="30" t="s">
        <v>154</v>
      </c>
    </row>
    <row x14ac:dyDescent="0.25" r="413" customHeight="1" ht="18.75">
      <c r="A413" s="2" t="s">
        <v>287</v>
      </c>
      <c r="B413" s="9" t="s">
        <v>304</v>
      </c>
      <c r="C413" s="2" t="s">
        <v>522</v>
      </c>
      <c r="D413" s="30" t="s">
        <v>173</v>
      </c>
    </row>
    <row x14ac:dyDescent="0.25" r="414" customHeight="1" ht="18.75">
      <c r="A414" s="2" t="s">
        <v>287</v>
      </c>
      <c r="B414" s="9" t="s">
        <v>298</v>
      </c>
      <c r="C414" s="2" t="s">
        <v>523</v>
      </c>
      <c r="D414" s="30" t="s">
        <v>173</v>
      </c>
    </row>
    <row x14ac:dyDescent="0.25" r="415" customHeight="1" ht="18.75">
      <c r="A415" s="2" t="s">
        <v>287</v>
      </c>
      <c r="B415" s="9" t="s">
        <v>313</v>
      </c>
      <c r="C415" s="2" t="s">
        <v>524</v>
      </c>
      <c r="D415" s="30" t="s">
        <v>173</v>
      </c>
    </row>
    <row x14ac:dyDescent="0.25" r="416" customHeight="1" ht="18.75">
      <c r="A416" s="2" t="s">
        <v>287</v>
      </c>
      <c r="B416" s="9" t="s">
        <v>336</v>
      </c>
      <c r="C416" s="2" t="s">
        <v>525</v>
      </c>
      <c r="D416" s="30" t="s">
        <v>173</v>
      </c>
    </row>
    <row x14ac:dyDescent="0.25" r="417" customHeight="1" ht="18.75">
      <c r="A417" s="2" t="s">
        <v>287</v>
      </c>
      <c r="B417" s="9" t="s">
        <v>304</v>
      </c>
      <c r="C417" s="2" t="s">
        <v>526</v>
      </c>
      <c r="D417" s="30" t="s">
        <v>173</v>
      </c>
    </row>
    <row x14ac:dyDescent="0.25" r="418" customHeight="1" ht="18.75">
      <c r="A418" s="2" t="s">
        <v>287</v>
      </c>
      <c r="B418" s="9" t="s">
        <v>290</v>
      </c>
      <c r="C418" s="2" t="s">
        <v>527</v>
      </c>
      <c r="D418" s="30" t="s">
        <v>154</v>
      </c>
    </row>
    <row x14ac:dyDescent="0.25" r="419" customHeight="1" ht="18.75">
      <c r="A419" s="2" t="s">
        <v>287</v>
      </c>
      <c r="B419" s="9" t="s">
        <v>366</v>
      </c>
      <c r="C419" s="2" t="s">
        <v>528</v>
      </c>
      <c r="D419" s="30" t="s">
        <v>154</v>
      </c>
    </row>
    <row x14ac:dyDescent="0.25" r="420" customHeight="1" ht="18.75">
      <c r="A420" s="2" t="s">
        <v>287</v>
      </c>
      <c r="B420" s="9" t="s">
        <v>404</v>
      </c>
      <c r="C420" s="2" t="s">
        <v>529</v>
      </c>
      <c r="D420" s="30" t="s">
        <v>175</v>
      </c>
    </row>
    <row x14ac:dyDescent="0.25" r="421" customHeight="1" ht="18.75">
      <c r="A421" s="2" t="s">
        <v>287</v>
      </c>
      <c r="B421" s="9" t="s">
        <v>302</v>
      </c>
      <c r="C421" s="2" t="s">
        <v>530</v>
      </c>
      <c r="D421" s="30" t="s">
        <v>154</v>
      </c>
    </row>
    <row x14ac:dyDescent="0.25" r="422" customHeight="1" ht="18.75">
      <c r="A422" s="2" t="s">
        <v>287</v>
      </c>
      <c r="B422" s="9" t="s">
        <v>531</v>
      </c>
      <c r="C422" s="2" t="s">
        <v>532</v>
      </c>
      <c r="D422" s="30" t="s">
        <v>173</v>
      </c>
    </row>
    <row x14ac:dyDescent="0.25" r="423" customHeight="1" ht="18.75">
      <c r="A423" s="2" t="s">
        <v>287</v>
      </c>
      <c r="B423" s="9" t="s">
        <v>304</v>
      </c>
      <c r="C423" s="2" t="s">
        <v>533</v>
      </c>
      <c r="D423" s="30" t="s">
        <v>173</v>
      </c>
    </row>
    <row x14ac:dyDescent="0.25" r="424" customHeight="1" ht="18.75">
      <c r="A424" s="2" t="s">
        <v>287</v>
      </c>
      <c r="B424" s="9" t="s">
        <v>413</v>
      </c>
      <c r="C424" s="2" t="s">
        <v>534</v>
      </c>
      <c r="D424" s="30" t="s">
        <v>154</v>
      </c>
    </row>
    <row x14ac:dyDescent="0.25" r="425" customHeight="1" ht="18.75">
      <c r="A425" s="2" t="s">
        <v>287</v>
      </c>
      <c r="B425" s="9" t="s">
        <v>336</v>
      </c>
      <c r="C425" s="2" t="s">
        <v>535</v>
      </c>
      <c r="D425" s="30" t="s">
        <v>154</v>
      </c>
    </row>
    <row x14ac:dyDescent="0.25" r="426" customHeight="1" ht="18.75">
      <c r="A426" s="2" t="s">
        <v>287</v>
      </c>
      <c r="B426" s="9" t="s">
        <v>292</v>
      </c>
      <c r="C426" s="2" t="s">
        <v>536</v>
      </c>
      <c r="D426" s="30" t="s">
        <v>154</v>
      </c>
    </row>
    <row x14ac:dyDescent="0.25" r="427" customHeight="1" ht="18.75">
      <c r="A427" s="2" t="s">
        <v>287</v>
      </c>
      <c r="B427" s="9" t="s">
        <v>394</v>
      </c>
      <c r="C427" s="2" t="s">
        <v>537</v>
      </c>
      <c r="D427" s="30" t="s">
        <v>173</v>
      </c>
    </row>
    <row x14ac:dyDescent="0.25" r="428" customHeight="1" ht="18.75">
      <c r="A428" s="2" t="s">
        <v>287</v>
      </c>
      <c r="B428" s="9" t="s">
        <v>315</v>
      </c>
      <c r="C428" s="2" t="s">
        <v>538</v>
      </c>
      <c r="D428" s="30" t="s">
        <v>173</v>
      </c>
    </row>
    <row x14ac:dyDescent="0.25" r="429" customHeight="1" ht="18.75">
      <c r="A429" s="2" t="s">
        <v>287</v>
      </c>
      <c r="B429" s="9" t="s">
        <v>296</v>
      </c>
      <c r="C429" s="2" t="s">
        <v>539</v>
      </c>
      <c r="D429" s="30" t="s">
        <v>175</v>
      </c>
    </row>
    <row x14ac:dyDescent="0.25" r="430" customHeight="1" ht="18.75">
      <c r="A430" s="2" t="s">
        <v>287</v>
      </c>
      <c r="B430" s="9" t="s">
        <v>413</v>
      </c>
      <c r="C430" s="2" t="s">
        <v>540</v>
      </c>
      <c r="D430" s="30" t="s">
        <v>175</v>
      </c>
    </row>
    <row x14ac:dyDescent="0.25" r="431" customHeight="1" ht="18.75">
      <c r="A431" s="2" t="s">
        <v>287</v>
      </c>
      <c r="B431" s="9" t="s">
        <v>374</v>
      </c>
      <c r="C431" s="2" t="s">
        <v>541</v>
      </c>
      <c r="D431" s="30" t="s">
        <v>154</v>
      </c>
    </row>
    <row x14ac:dyDescent="0.25" r="432" customHeight="1" ht="18.75">
      <c r="A432" s="2" t="s">
        <v>287</v>
      </c>
      <c r="B432" s="9" t="s">
        <v>404</v>
      </c>
      <c r="C432" s="2" t="s">
        <v>542</v>
      </c>
      <c r="D432" s="30" t="s">
        <v>153</v>
      </c>
    </row>
    <row x14ac:dyDescent="0.25" r="433" customHeight="1" ht="18.75">
      <c r="A433" s="2" t="s">
        <v>287</v>
      </c>
      <c r="B433" s="9" t="s">
        <v>404</v>
      </c>
      <c r="C433" s="2" t="s">
        <v>543</v>
      </c>
      <c r="D433" s="30" t="s">
        <v>208</v>
      </c>
    </row>
    <row x14ac:dyDescent="0.25" r="434" customHeight="1" ht="18.75">
      <c r="A434" s="2" t="s">
        <v>287</v>
      </c>
      <c r="B434" s="9" t="s">
        <v>404</v>
      </c>
      <c r="C434" s="2" t="s">
        <v>544</v>
      </c>
      <c r="D434" s="30" t="s">
        <v>208</v>
      </c>
    </row>
    <row x14ac:dyDescent="0.25" r="435" customHeight="1" ht="18.75">
      <c r="A435" s="2" t="s">
        <v>287</v>
      </c>
      <c r="B435" s="9" t="s">
        <v>404</v>
      </c>
      <c r="C435" s="2" t="s">
        <v>545</v>
      </c>
      <c r="D435" s="30" t="s">
        <v>153</v>
      </c>
    </row>
    <row x14ac:dyDescent="0.25" r="436" customHeight="1" ht="18.75">
      <c r="A436" s="2" t="s">
        <v>287</v>
      </c>
      <c r="B436" s="9" t="s">
        <v>404</v>
      </c>
      <c r="C436" s="2" t="s">
        <v>546</v>
      </c>
      <c r="D436" s="30" t="s">
        <v>153</v>
      </c>
    </row>
    <row x14ac:dyDescent="0.25" r="437" customHeight="1" ht="18.75">
      <c r="A437" s="2" t="s">
        <v>287</v>
      </c>
      <c r="B437" s="9" t="s">
        <v>404</v>
      </c>
      <c r="C437" s="2" t="s">
        <v>547</v>
      </c>
      <c r="D437" s="30" t="s">
        <v>153</v>
      </c>
    </row>
    <row x14ac:dyDescent="0.25" r="438" customHeight="1" ht="18.75">
      <c r="A438" s="2" t="s">
        <v>287</v>
      </c>
      <c r="B438" s="9" t="s">
        <v>404</v>
      </c>
      <c r="C438" s="2" t="s">
        <v>548</v>
      </c>
      <c r="D438" s="30" t="s">
        <v>153</v>
      </c>
    </row>
    <row x14ac:dyDescent="0.25" r="439" customHeight="1" ht="18.75">
      <c r="A439" s="2" t="s">
        <v>287</v>
      </c>
      <c r="B439" s="9" t="s">
        <v>404</v>
      </c>
      <c r="C439" s="2" t="s">
        <v>549</v>
      </c>
      <c r="D439" s="30" t="s">
        <v>153</v>
      </c>
    </row>
    <row x14ac:dyDescent="0.25" r="440" customHeight="1" ht="18.75">
      <c r="A440" s="2" t="s">
        <v>287</v>
      </c>
      <c r="B440" s="9" t="s">
        <v>404</v>
      </c>
      <c r="C440" s="2" t="s">
        <v>550</v>
      </c>
      <c r="D440" s="30" t="s">
        <v>153</v>
      </c>
    </row>
    <row x14ac:dyDescent="0.25" r="441" customHeight="1" ht="18.75">
      <c r="A441" s="2" t="s">
        <v>287</v>
      </c>
      <c r="B441" s="9" t="s">
        <v>404</v>
      </c>
      <c r="C441" s="2" t="s">
        <v>551</v>
      </c>
      <c r="D441" s="30" t="s">
        <v>175</v>
      </c>
    </row>
    <row x14ac:dyDescent="0.25" r="442" customHeight="1" ht="18.75">
      <c r="A442" s="2" t="s">
        <v>287</v>
      </c>
      <c r="B442" s="9" t="s">
        <v>404</v>
      </c>
      <c r="C442" s="2" t="s">
        <v>552</v>
      </c>
      <c r="D442" s="30" t="s">
        <v>153</v>
      </c>
    </row>
    <row x14ac:dyDescent="0.25" r="443" customHeight="1" ht="18.75">
      <c r="A443" s="2" t="s">
        <v>287</v>
      </c>
      <c r="B443" s="9" t="s">
        <v>404</v>
      </c>
      <c r="C443" s="2" t="s">
        <v>553</v>
      </c>
      <c r="D443" s="30" t="s">
        <v>208</v>
      </c>
    </row>
    <row x14ac:dyDescent="0.25" r="444" customHeight="1" ht="18.75">
      <c r="A444" s="2" t="s">
        <v>287</v>
      </c>
      <c r="B444" s="9" t="s">
        <v>404</v>
      </c>
      <c r="C444" s="2" t="s">
        <v>554</v>
      </c>
      <c r="D444" s="30" t="s">
        <v>208</v>
      </c>
    </row>
    <row x14ac:dyDescent="0.25" r="445" customHeight="1" ht="18.75">
      <c r="A445" s="2" t="s">
        <v>287</v>
      </c>
      <c r="B445" s="9" t="s">
        <v>404</v>
      </c>
      <c r="C445" s="2" t="s">
        <v>555</v>
      </c>
      <c r="D445" s="30" t="s">
        <v>153</v>
      </c>
    </row>
    <row x14ac:dyDescent="0.25" r="446" customHeight="1" ht="18.75">
      <c r="A446" s="2" t="s">
        <v>287</v>
      </c>
      <c r="B446" s="9" t="s">
        <v>404</v>
      </c>
      <c r="C446" s="2" t="s">
        <v>556</v>
      </c>
      <c r="D446" s="30" t="s">
        <v>208</v>
      </c>
    </row>
    <row x14ac:dyDescent="0.25" r="447" customHeight="1" ht="18.75">
      <c r="A447" s="2" t="s">
        <v>287</v>
      </c>
      <c r="B447" s="9" t="s">
        <v>404</v>
      </c>
      <c r="C447" s="2" t="s">
        <v>557</v>
      </c>
      <c r="D447" s="30" t="s">
        <v>208</v>
      </c>
    </row>
    <row x14ac:dyDescent="0.25" r="448" customHeight="1" ht="18.75">
      <c r="A448" s="2" t="s">
        <v>287</v>
      </c>
      <c r="B448" s="9" t="s">
        <v>404</v>
      </c>
      <c r="C448" s="2" t="s">
        <v>558</v>
      </c>
      <c r="D448" s="30" t="s">
        <v>208</v>
      </c>
    </row>
    <row x14ac:dyDescent="0.25" r="449" customHeight="1" ht="18.75">
      <c r="A449" s="2" t="s">
        <v>287</v>
      </c>
      <c r="B449" s="9" t="s">
        <v>394</v>
      </c>
      <c r="C449" s="2" t="s">
        <v>559</v>
      </c>
      <c r="D449" s="30" t="s">
        <v>175</v>
      </c>
    </row>
    <row x14ac:dyDescent="0.25" r="450" customHeight="1" ht="18.75">
      <c r="A450" s="2" t="s">
        <v>287</v>
      </c>
      <c r="B450" s="9" t="s">
        <v>560</v>
      </c>
      <c r="C450" s="2" t="s">
        <v>561</v>
      </c>
      <c r="D450" s="30" t="s">
        <v>175</v>
      </c>
    </row>
    <row x14ac:dyDescent="0.25" r="451" customHeight="1" ht="18.75">
      <c r="A451" s="2" t="s">
        <v>287</v>
      </c>
      <c r="B451" s="9" t="s">
        <v>398</v>
      </c>
      <c r="C451" s="2" t="s">
        <v>562</v>
      </c>
      <c r="D451" s="30" t="s">
        <v>154</v>
      </c>
    </row>
    <row x14ac:dyDescent="0.25" r="452" customHeight="1" ht="18.75">
      <c r="A452" s="2" t="s">
        <v>287</v>
      </c>
      <c r="B452" s="9" t="s">
        <v>292</v>
      </c>
      <c r="C452" s="2" t="s">
        <v>563</v>
      </c>
      <c r="D452" s="30" t="s">
        <v>154</v>
      </c>
    </row>
    <row x14ac:dyDescent="0.25" r="453" customHeight="1" ht="18.75">
      <c r="A453" s="2" t="s">
        <v>287</v>
      </c>
      <c r="B453" s="9" t="s">
        <v>318</v>
      </c>
      <c r="C453" s="2" t="s">
        <v>564</v>
      </c>
      <c r="D453" s="30" t="s">
        <v>154</v>
      </c>
    </row>
    <row x14ac:dyDescent="0.25" r="454" customHeight="1" ht="18.75">
      <c r="A454" s="2" t="s">
        <v>287</v>
      </c>
      <c r="B454" s="9" t="s">
        <v>413</v>
      </c>
      <c r="C454" s="2" t="s">
        <v>565</v>
      </c>
      <c r="D454" s="30" t="s">
        <v>175</v>
      </c>
    </row>
    <row x14ac:dyDescent="0.25" r="455" customHeight="1" ht="18.75">
      <c r="A455" s="2" t="s">
        <v>287</v>
      </c>
      <c r="B455" s="9" t="s">
        <v>311</v>
      </c>
      <c r="C455" s="2" t="s">
        <v>566</v>
      </c>
      <c r="D455" s="30" t="s">
        <v>154</v>
      </c>
    </row>
    <row x14ac:dyDescent="0.25" r="456" customHeight="1" ht="18.75">
      <c r="A456" s="2" t="s">
        <v>287</v>
      </c>
      <c r="B456" s="9" t="s">
        <v>404</v>
      </c>
      <c r="C456" s="2" t="s">
        <v>567</v>
      </c>
      <c r="D456" s="30" t="s">
        <v>208</v>
      </c>
    </row>
    <row x14ac:dyDescent="0.25" r="457" customHeight="1" ht="18.75">
      <c r="A457" s="2" t="s">
        <v>287</v>
      </c>
      <c r="B457" s="9" t="s">
        <v>404</v>
      </c>
      <c r="C457" s="2" t="s">
        <v>568</v>
      </c>
      <c r="D457" s="30" t="s">
        <v>153</v>
      </c>
    </row>
    <row x14ac:dyDescent="0.25" r="458" customHeight="1" ht="18.75">
      <c r="A458" s="2" t="s">
        <v>287</v>
      </c>
      <c r="B458" s="9" t="s">
        <v>298</v>
      </c>
      <c r="C458" s="2" t="s">
        <v>569</v>
      </c>
      <c r="D458" s="30" t="s">
        <v>154</v>
      </c>
    </row>
    <row x14ac:dyDescent="0.25" r="459" customHeight="1" ht="18.75">
      <c r="A459" s="2" t="s">
        <v>287</v>
      </c>
      <c r="B459" s="9" t="s">
        <v>374</v>
      </c>
      <c r="C459" s="2" t="s">
        <v>570</v>
      </c>
      <c r="D459" s="30" t="s">
        <v>154</v>
      </c>
    </row>
    <row x14ac:dyDescent="0.25" r="460" customHeight="1" ht="18.75">
      <c r="A460" s="2" t="s">
        <v>287</v>
      </c>
      <c r="B460" s="9" t="s">
        <v>304</v>
      </c>
      <c r="C460" s="2" t="s">
        <v>571</v>
      </c>
      <c r="D460" s="30" t="s">
        <v>154</v>
      </c>
    </row>
    <row x14ac:dyDescent="0.25" r="461" customHeight="1" ht="18.75">
      <c r="A461" s="2" t="s">
        <v>287</v>
      </c>
      <c r="B461" s="9" t="s">
        <v>318</v>
      </c>
      <c r="C461" s="2" t="s">
        <v>572</v>
      </c>
      <c r="D461" s="30" t="s">
        <v>154</v>
      </c>
    </row>
    <row x14ac:dyDescent="0.25" r="462" customHeight="1" ht="18.75">
      <c r="A462" s="2" t="s">
        <v>287</v>
      </c>
      <c r="B462" s="9" t="s">
        <v>290</v>
      </c>
      <c r="C462" s="2" t="s">
        <v>573</v>
      </c>
      <c r="D462" s="30" t="s">
        <v>155</v>
      </c>
    </row>
    <row x14ac:dyDescent="0.25" r="463" customHeight="1" ht="18.75">
      <c r="A463" s="2" t="s">
        <v>287</v>
      </c>
      <c r="B463" s="9" t="s">
        <v>318</v>
      </c>
      <c r="C463" s="2" t="s">
        <v>574</v>
      </c>
      <c r="D463" s="30" t="s">
        <v>154</v>
      </c>
    </row>
    <row x14ac:dyDescent="0.25" r="464" customHeight="1" ht="18.75">
      <c r="A464" s="2" t="s">
        <v>287</v>
      </c>
      <c r="B464" s="9" t="s">
        <v>336</v>
      </c>
      <c r="C464" s="2" t="s">
        <v>575</v>
      </c>
      <c r="D464" s="30" t="s">
        <v>175</v>
      </c>
    </row>
    <row x14ac:dyDescent="0.25" r="465" customHeight="1" ht="18.75">
      <c r="A465" s="2" t="s">
        <v>287</v>
      </c>
      <c r="B465" s="9" t="s">
        <v>298</v>
      </c>
      <c r="C465" s="2" t="s">
        <v>576</v>
      </c>
      <c r="D465" s="30" t="s">
        <v>286</v>
      </c>
    </row>
    <row x14ac:dyDescent="0.25" r="466" customHeight="1" ht="18.75">
      <c r="A466" s="2" t="s">
        <v>287</v>
      </c>
      <c r="B466" s="9" t="s">
        <v>336</v>
      </c>
      <c r="C466" s="2" t="s">
        <v>577</v>
      </c>
      <c r="D466" s="30" t="s">
        <v>154</v>
      </c>
    </row>
    <row x14ac:dyDescent="0.25" r="467" customHeight="1" ht="18.75">
      <c r="A467" s="2" t="s">
        <v>287</v>
      </c>
      <c r="B467" s="9" t="s">
        <v>343</v>
      </c>
      <c r="C467" s="2" t="s">
        <v>578</v>
      </c>
      <c r="D467" s="30" t="s">
        <v>208</v>
      </c>
    </row>
    <row x14ac:dyDescent="0.25" r="468" customHeight="1" ht="18.75">
      <c r="A468" s="2" t="s">
        <v>287</v>
      </c>
      <c r="B468" s="9" t="s">
        <v>313</v>
      </c>
      <c r="C468" s="2" t="s">
        <v>579</v>
      </c>
      <c r="D468" s="30" t="s">
        <v>209</v>
      </c>
    </row>
    <row x14ac:dyDescent="0.25" r="469" customHeight="1" ht="18.75">
      <c r="A469" s="2" t="s">
        <v>287</v>
      </c>
      <c r="B469" s="9" t="s">
        <v>409</v>
      </c>
      <c r="C469" s="2" t="s">
        <v>580</v>
      </c>
      <c r="D469" s="30" t="s">
        <v>209</v>
      </c>
    </row>
    <row x14ac:dyDescent="0.25" r="470" customHeight="1" ht="18.75">
      <c r="A470" s="2" t="s">
        <v>287</v>
      </c>
      <c r="B470" s="9" t="s">
        <v>343</v>
      </c>
      <c r="C470" s="2" t="s">
        <v>581</v>
      </c>
      <c r="D470" s="30" t="s">
        <v>209</v>
      </c>
    </row>
    <row x14ac:dyDescent="0.25" r="471" customHeight="1" ht="18.75">
      <c r="A471" s="2" t="s">
        <v>287</v>
      </c>
      <c r="B471" s="9" t="s">
        <v>404</v>
      </c>
      <c r="C471" s="2" t="s">
        <v>582</v>
      </c>
      <c r="D471" s="30" t="s">
        <v>173</v>
      </c>
    </row>
    <row x14ac:dyDescent="0.25" r="472" customHeight="1" ht="18.75">
      <c r="A472" s="2" t="s">
        <v>287</v>
      </c>
      <c r="B472" s="9" t="s">
        <v>404</v>
      </c>
      <c r="C472" s="2" t="s">
        <v>583</v>
      </c>
      <c r="D472" s="30" t="s">
        <v>153</v>
      </c>
    </row>
    <row x14ac:dyDescent="0.25" r="473" customHeight="1" ht="18.75">
      <c r="A473" s="2" t="s">
        <v>287</v>
      </c>
      <c r="B473" s="9" t="s">
        <v>404</v>
      </c>
      <c r="C473" s="2" t="s">
        <v>584</v>
      </c>
      <c r="D473" s="30" t="s">
        <v>153</v>
      </c>
    </row>
    <row x14ac:dyDescent="0.25" r="474" customHeight="1" ht="18.75">
      <c r="A474" s="2" t="s">
        <v>287</v>
      </c>
      <c r="B474" s="9" t="s">
        <v>404</v>
      </c>
      <c r="C474" s="2" t="s">
        <v>585</v>
      </c>
      <c r="D474" s="30" t="s">
        <v>153</v>
      </c>
    </row>
    <row x14ac:dyDescent="0.25" r="475" customHeight="1" ht="18.75">
      <c r="A475" s="2" t="s">
        <v>287</v>
      </c>
      <c r="B475" s="9" t="s">
        <v>404</v>
      </c>
      <c r="C475" s="2" t="s">
        <v>586</v>
      </c>
      <c r="D475" s="30" t="s">
        <v>153</v>
      </c>
    </row>
    <row x14ac:dyDescent="0.25" r="476" customHeight="1" ht="18.75">
      <c r="A476" s="2" t="s">
        <v>287</v>
      </c>
      <c r="B476" s="9" t="s">
        <v>404</v>
      </c>
      <c r="C476" s="2" t="s">
        <v>587</v>
      </c>
      <c r="D476" s="30" t="s">
        <v>153</v>
      </c>
    </row>
    <row x14ac:dyDescent="0.25" r="477" customHeight="1" ht="18.75">
      <c r="A477" s="2" t="s">
        <v>287</v>
      </c>
      <c r="B477" s="9" t="s">
        <v>404</v>
      </c>
      <c r="C477" s="2" t="s">
        <v>588</v>
      </c>
      <c r="D477" s="30" t="s">
        <v>153</v>
      </c>
    </row>
    <row x14ac:dyDescent="0.25" r="478" customHeight="1" ht="18.75">
      <c r="A478" s="2" t="s">
        <v>287</v>
      </c>
      <c r="B478" s="9" t="s">
        <v>404</v>
      </c>
      <c r="C478" s="2" t="s">
        <v>589</v>
      </c>
      <c r="D478" s="30" t="s">
        <v>153</v>
      </c>
    </row>
    <row x14ac:dyDescent="0.25" r="479" customHeight="1" ht="18.75">
      <c r="A479" s="2" t="s">
        <v>287</v>
      </c>
      <c r="B479" s="9" t="s">
        <v>404</v>
      </c>
      <c r="C479" s="2" t="s">
        <v>590</v>
      </c>
      <c r="D479" s="30" t="s">
        <v>153</v>
      </c>
    </row>
    <row x14ac:dyDescent="0.25" r="480" customHeight="1" ht="18.75">
      <c r="A480" s="2" t="s">
        <v>287</v>
      </c>
      <c r="B480" s="9" t="s">
        <v>404</v>
      </c>
      <c r="C480" s="2" t="s">
        <v>591</v>
      </c>
      <c r="D480" s="30" t="s">
        <v>153</v>
      </c>
    </row>
    <row x14ac:dyDescent="0.25" r="481" customHeight="1" ht="18.75">
      <c r="A481" s="2" t="s">
        <v>287</v>
      </c>
      <c r="B481" s="9" t="s">
        <v>404</v>
      </c>
      <c r="C481" s="2" t="s">
        <v>592</v>
      </c>
      <c r="D481" s="30" t="s">
        <v>153</v>
      </c>
    </row>
    <row x14ac:dyDescent="0.25" r="482" customHeight="1" ht="18.75">
      <c r="A482" s="2" t="s">
        <v>287</v>
      </c>
      <c r="B482" s="9" t="s">
        <v>404</v>
      </c>
      <c r="C482" s="2" t="s">
        <v>593</v>
      </c>
      <c r="D482" s="30" t="s">
        <v>153</v>
      </c>
    </row>
    <row x14ac:dyDescent="0.25" r="483" customHeight="1" ht="18.75">
      <c r="A483" s="2" t="s">
        <v>287</v>
      </c>
      <c r="B483" s="9" t="s">
        <v>404</v>
      </c>
      <c r="C483" s="2" t="s">
        <v>594</v>
      </c>
      <c r="D483" s="30" t="s">
        <v>153</v>
      </c>
    </row>
    <row x14ac:dyDescent="0.25" r="484" customHeight="1" ht="18.75">
      <c r="A484" s="2" t="s">
        <v>287</v>
      </c>
      <c r="B484" s="9" t="s">
        <v>404</v>
      </c>
      <c r="C484" s="2" t="s">
        <v>595</v>
      </c>
      <c r="D484" s="30" t="s">
        <v>153</v>
      </c>
    </row>
    <row x14ac:dyDescent="0.25" r="485" customHeight="1" ht="18.75">
      <c r="A485" s="2" t="s">
        <v>287</v>
      </c>
      <c r="B485" s="9" t="s">
        <v>404</v>
      </c>
      <c r="C485" s="2" t="s">
        <v>596</v>
      </c>
      <c r="D485" s="30" t="s">
        <v>153</v>
      </c>
    </row>
    <row x14ac:dyDescent="0.25" r="486" customHeight="1" ht="18.75">
      <c r="A486" s="2" t="s">
        <v>287</v>
      </c>
      <c r="B486" s="9" t="s">
        <v>404</v>
      </c>
      <c r="C486" s="2" t="s">
        <v>597</v>
      </c>
      <c r="D486" s="30" t="s">
        <v>153</v>
      </c>
    </row>
    <row x14ac:dyDescent="0.25" r="487" customHeight="1" ht="18.75">
      <c r="A487" s="2" t="s">
        <v>287</v>
      </c>
      <c r="B487" s="9" t="s">
        <v>404</v>
      </c>
      <c r="C487" s="2" t="s">
        <v>598</v>
      </c>
      <c r="D487" s="30" t="s">
        <v>153</v>
      </c>
    </row>
    <row x14ac:dyDescent="0.25" r="488" customHeight="1" ht="18.75">
      <c r="A488" s="2" t="s">
        <v>287</v>
      </c>
      <c r="B488" s="9" t="s">
        <v>404</v>
      </c>
      <c r="C488" s="2" t="s">
        <v>599</v>
      </c>
      <c r="D488" s="30" t="s">
        <v>153</v>
      </c>
    </row>
    <row x14ac:dyDescent="0.25" r="489" customHeight="1" ht="18.75">
      <c r="A489" s="2" t="s">
        <v>287</v>
      </c>
      <c r="B489" s="9" t="s">
        <v>404</v>
      </c>
      <c r="C489" s="2" t="s">
        <v>600</v>
      </c>
      <c r="D489" s="30" t="s">
        <v>222</v>
      </c>
    </row>
    <row x14ac:dyDescent="0.25" r="490" customHeight="1" ht="18.75">
      <c r="A490" s="2" t="s">
        <v>287</v>
      </c>
      <c r="B490" s="9" t="s">
        <v>404</v>
      </c>
      <c r="C490" s="2" t="s">
        <v>601</v>
      </c>
      <c r="D490" s="30" t="s">
        <v>153</v>
      </c>
    </row>
    <row x14ac:dyDescent="0.25" r="491" customHeight="1" ht="18.75">
      <c r="A491" s="2" t="s">
        <v>287</v>
      </c>
      <c r="B491" s="9" t="s">
        <v>404</v>
      </c>
      <c r="C491" s="2" t="s">
        <v>602</v>
      </c>
      <c r="D491" s="30" t="s">
        <v>153</v>
      </c>
    </row>
    <row x14ac:dyDescent="0.25" r="492" customHeight="1" ht="18.75">
      <c r="A492" s="2" t="s">
        <v>287</v>
      </c>
      <c r="B492" s="9" t="s">
        <v>404</v>
      </c>
      <c r="C492" s="2" t="s">
        <v>603</v>
      </c>
      <c r="D492" s="30" t="s">
        <v>173</v>
      </c>
    </row>
    <row x14ac:dyDescent="0.25" r="493" customHeight="1" ht="18.75">
      <c r="A493" s="2" t="s">
        <v>287</v>
      </c>
      <c r="B493" s="9" t="s">
        <v>404</v>
      </c>
      <c r="C493" s="2" t="s">
        <v>604</v>
      </c>
      <c r="D493" s="30" t="s">
        <v>222</v>
      </c>
    </row>
    <row x14ac:dyDescent="0.25" r="494" customHeight="1" ht="18.75">
      <c r="A494" s="2" t="s">
        <v>287</v>
      </c>
      <c r="B494" s="9" t="s">
        <v>404</v>
      </c>
      <c r="C494" s="2" t="s">
        <v>605</v>
      </c>
      <c r="D494" s="30" t="s">
        <v>153</v>
      </c>
    </row>
    <row x14ac:dyDescent="0.25" r="495" customHeight="1" ht="18.75">
      <c r="A495" s="2" t="s">
        <v>287</v>
      </c>
      <c r="B495" s="3" t="s">
        <v>606</v>
      </c>
      <c r="C495" s="33" t="s">
        <v>607</v>
      </c>
      <c r="D495" s="30" t="s">
        <v>222</v>
      </c>
    </row>
    <row x14ac:dyDescent="0.25" r="496" customHeight="1" ht="18.75">
      <c r="A496" s="2" t="s">
        <v>287</v>
      </c>
      <c r="B496" s="3" t="s">
        <v>402</v>
      </c>
      <c r="C496" s="33" t="s">
        <v>608</v>
      </c>
      <c r="D496" s="30" t="s">
        <v>153</v>
      </c>
    </row>
    <row x14ac:dyDescent="0.25" r="497" customHeight="1" ht="18.75">
      <c r="A497" s="2" t="s">
        <v>287</v>
      </c>
      <c r="B497" s="9" t="s">
        <v>318</v>
      </c>
      <c r="C497" s="2" t="s">
        <v>609</v>
      </c>
      <c r="D497" s="30" t="s">
        <v>209</v>
      </c>
    </row>
    <row x14ac:dyDescent="0.25" r="498" customHeight="1" ht="18.75">
      <c r="A498" s="2" t="s">
        <v>287</v>
      </c>
      <c r="B498" s="9" t="s">
        <v>402</v>
      </c>
      <c r="C498" s="2" t="s">
        <v>610</v>
      </c>
      <c r="D498" s="30" t="s">
        <v>153</v>
      </c>
    </row>
    <row x14ac:dyDescent="0.25" r="499" customHeight="1" ht="18.75">
      <c r="A499" s="2" t="s">
        <v>287</v>
      </c>
      <c r="B499" s="3" t="s">
        <v>402</v>
      </c>
      <c r="C499" s="2" t="s">
        <v>611</v>
      </c>
      <c r="D499" s="30" t="s">
        <v>209</v>
      </c>
    </row>
    <row x14ac:dyDescent="0.25" r="500" customHeight="1" ht="18.75">
      <c r="A500" s="2" t="s">
        <v>287</v>
      </c>
      <c r="B500" s="3" t="s">
        <v>612</v>
      </c>
      <c r="C500" s="2" t="s">
        <v>613</v>
      </c>
      <c r="D500" s="30" t="s">
        <v>173</v>
      </c>
    </row>
    <row x14ac:dyDescent="0.25" r="501" customHeight="1" ht="18.75">
      <c r="A501" s="2" t="s">
        <v>287</v>
      </c>
      <c r="B501" s="3" t="s">
        <v>612</v>
      </c>
      <c r="C501" s="2" t="s">
        <v>614</v>
      </c>
      <c r="D501" s="30" t="s">
        <v>173</v>
      </c>
    </row>
    <row x14ac:dyDescent="0.25" r="502" customHeight="1" ht="18.75">
      <c r="A502" s="2" t="s">
        <v>287</v>
      </c>
      <c r="B502" s="3" t="s">
        <v>612</v>
      </c>
      <c r="C502" s="2" t="s">
        <v>615</v>
      </c>
      <c r="D502" s="30" t="s">
        <v>173</v>
      </c>
    </row>
    <row x14ac:dyDescent="0.25" r="503" customHeight="1" ht="18.75">
      <c r="A503" s="2" t="s">
        <v>287</v>
      </c>
      <c r="B503" s="9" t="s">
        <v>616</v>
      </c>
      <c r="C503" s="2" t="s">
        <v>617</v>
      </c>
      <c r="D503" s="30" t="s">
        <v>173</v>
      </c>
    </row>
    <row x14ac:dyDescent="0.25" r="504" customHeight="1" ht="18.75">
      <c r="A504" s="2" t="s">
        <v>287</v>
      </c>
      <c r="B504" s="3" t="s">
        <v>404</v>
      </c>
      <c r="C504" s="2" t="s">
        <v>618</v>
      </c>
      <c r="D504" s="30" t="s">
        <v>153</v>
      </c>
    </row>
    <row x14ac:dyDescent="0.25" r="505" customHeight="1" ht="18.75">
      <c r="A505" s="2" t="s">
        <v>287</v>
      </c>
      <c r="B505" s="9" t="s">
        <v>366</v>
      </c>
      <c r="C505" s="2" t="s">
        <v>619</v>
      </c>
      <c r="D505" s="30" t="s">
        <v>173</v>
      </c>
    </row>
    <row x14ac:dyDescent="0.25" r="506" customHeight="1" ht="18.75">
      <c r="A506" s="2" t="s">
        <v>287</v>
      </c>
      <c r="B506" s="9" t="s">
        <v>302</v>
      </c>
      <c r="C506" s="2" t="s">
        <v>620</v>
      </c>
      <c r="D506" s="30" t="s">
        <v>153</v>
      </c>
    </row>
    <row x14ac:dyDescent="0.25" r="507" customHeight="1" ht="18.75">
      <c r="A507" s="2" t="s">
        <v>287</v>
      </c>
      <c r="B507" s="3" t="s">
        <v>402</v>
      </c>
      <c r="C507" s="2" t="s">
        <v>621</v>
      </c>
      <c r="D507" s="30" t="s">
        <v>209</v>
      </c>
    </row>
    <row x14ac:dyDescent="0.25" r="508" customHeight="1" ht="18.75">
      <c r="A508" s="2" t="s">
        <v>287</v>
      </c>
      <c r="B508" s="3" t="s">
        <v>421</v>
      </c>
      <c r="C508" s="2" t="s">
        <v>622</v>
      </c>
      <c r="D508" s="30" t="s">
        <v>155</v>
      </c>
    </row>
    <row x14ac:dyDescent="0.25" r="509" customHeight="1" ht="18.75">
      <c r="A509" s="2" t="s">
        <v>287</v>
      </c>
      <c r="B509" s="3" t="s">
        <v>616</v>
      </c>
      <c r="C509" s="2" t="s">
        <v>623</v>
      </c>
      <c r="D509" s="30" t="s">
        <v>155</v>
      </c>
    </row>
    <row x14ac:dyDescent="0.25" r="510" customHeight="1" ht="18.75">
      <c r="A510" s="2" t="s">
        <v>287</v>
      </c>
      <c r="B510" s="3" t="s">
        <v>402</v>
      </c>
      <c r="C510" s="2" t="s">
        <v>624</v>
      </c>
      <c r="D510" s="30" t="s">
        <v>173</v>
      </c>
    </row>
    <row x14ac:dyDescent="0.25" r="511" customHeight="1" ht="18.75">
      <c r="A511" s="2" t="s">
        <v>287</v>
      </c>
      <c r="B511" s="3" t="s">
        <v>315</v>
      </c>
      <c r="C511" s="2" t="s">
        <v>625</v>
      </c>
      <c r="D511" s="30" t="s">
        <v>173</v>
      </c>
    </row>
    <row x14ac:dyDescent="0.25" r="512" customHeight="1" ht="18.75">
      <c r="A512" s="2" t="s">
        <v>287</v>
      </c>
      <c r="B512" s="3" t="s">
        <v>626</v>
      </c>
      <c r="C512" s="2" t="s">
        <v>627</v>
      </c>
      <c r="D512" s="30" t="s">
        <v>209</v>
      </c>
    </row>
    <row x14ac:dyDescent="0.25" r="513" customHeight="1" ht="18.75">
      <c r="A513" s="2" t="s">
        <v>287</v>
      </c>
      <c r="B513" s="9" t="s">
        <v>302</v>
      </c>
      <c r="C513" s="2" t="s">
        <v>628</v>
      </c>
      <c r="D513" s="30" t="s">
        <v>154</v>
      </c>
    </row>
    <row x14ac:dyDescent="0.25" r="514" customHeight="1" ht="18.75">
      <c r="A514" s="2" t="s">
        <v>287</v>
      </c>
      <c r="B514" s="9" t="s">
        <v>290</v>
      </c>
      <c r="C514" s="2" t="s">
        <v>629</v>
      </c>
      <c r="D514" s="30" t="s">
        <v>154</v>
      </c>
    </row>
    <row x14ac:dyDescent="0.25" r="515" customHeight="1" ht="18.75">
      <c r="A515" s="2" t="s">
        <v>287</v>
      </c>
      <c r="B515" s="9" t="s">
        <v>616</v>
      </c>
      <c r="C515" s="2" t="s">
        <v>630</v>
      </c>
      <c r="D515" s="30" t="s">
        <v>173</v>
      </c>
    </row>
    <row x14ac:dyDescent="0.25" r="516" customHeight="1" ht="18.75">
      <c r="A516" s="2" t="s">
        <v>287</v>
      </c>
      <c r="B516" s="9" t="s">
        <v>364</v>
      </c>
      <c r="C516" s="2" t="s">
        <v>631</v>
      </c>
      <c r="D516" s="30" t="s">
        <v>154</v>
      </c>
    </row>
    <row x14ac:dyDescent="0.25" r="517" customHeight="1" ht="18.75">
      <c r="A517" s="2" t="s">
        <v>287</v>
      </c>
      <c r="B517" s="9" t="s">
        <v>313</v>
      </c>
      <c r="C517" s="2" t="s">
        <v>632</v>
      </c>
      <c r="D517" s="30" t="s">
        <v>154</v>
      </c>
    </row>
    <row x14ac:dyDescent="0.25" r="518" customHeight="1" ht="18.75">
      <c r="A518" s="2" t="s">
        <v>287</v>
      </c>
      <c r="B518" s="9" t="s">
        <v>304</v>
      </c>
      <c r="C518" s="2" t="s">
        <v>633</v>
      </c>
      <c r="D518" s="30" t="s">
        <v>154</v>
      </c>
    </row>
    <row x14ac:dyDescent="0.25" r="519" customHeight="1" ht="18.75">
      <c r="A519" s="2" t="s">
        <v>287</v>
      </c>
      <c r="B519" s="9" t="s">
        <v>290</v>
      </c>
      <c r="C519" s="2" t="s">
        <v>634</v>
      </c>
      <c r="D519" s="30" t="s">
        <v>154</v>
      </c>
    </row>
    <row x14ac:dyDescent="0.25" r="520" customHeight="1" ht="18.75">
      <c r="A520" s="2" t="s">
        <v>287</v>
      </c>
      <c r="B520" s="9" t="s">
        <v>336</v>
      </c>
      <c r="C520" s="2" t="s">
        <v>635</v>
      </c>
      <c r="D520" s="30" t="s">
        <v>173</v>
      </c>
    </row>
    <row x14ac:dyDescent="0.25" r="521" customHeight="1" ht="18.75">
      <c r="A521" s="2" t="s">
        <v>287</v>
      </c>
      <c r="B521" s="9" t="s">
        <v>366</v>
      </c>
      <c r="C521" s="2" t="s">
        <v>636</v>
      </c>
      <c r="D521" s="30" t="s">
        <v>154</v>
      </c>
    </row>
    <row x14ac:dyDescent="0.25" r="522" customHeight="1" ht="18.75">
      <c r="A522" s="2" t="s">
        <v>287</v>
      </c>
      <c r="B522" s="9" t="s">
        <v>409</v>
      </c>
      <c r="C522" s="2" t="s">
        <v>637</v>
      </c>
      <c r="D522" s="30" t="s">
        <v>154</v>
      </c>
    </row>
    <row x14ac:dyDescent="0.25" r="523" customHeight="1" ht="18.75">
      <c r="A523" s="2" t="s">
        <v>287</v>
      </c>
      <c r="B523" s="9" t="s">
        <v>396</v>
      </c>
      <c r="C523" s="2" t="s">
        <v>638</v>
      </c>
      <c r="D523" s="30" t="s">
        <v>173</v>
      </c>
    </row>
    <row x14ac:dyDescent="0.25" r="524" customHeight="1" ht="18.75">
      <c r="A524" s="2" t="s">
        <v>287</v>
      </c>
      <c r="B524" s="9" t="s">
        <v>315</v>
      </c>
      <c r="C524" s="2" t="s">
        <v>639</v>
      </c>
      <c r="D524" s="30" t="s">
        <v>173</v>
      </c>
    </row>
    <row x14ac:dyDescent="0.25" r="525" customHeight="1" ht="18.75">
      <c r="A525" s="2" t="s">
        <v>287</v>
      </c>
      <c r="B525" s="9" t="s">
        <v>304</v>
      </c>
      <c r="C525" s="2" t="s">
        <v>640</v>
      </c>
      <c r="D525" s="30" t="s">
        <v>154</v>
      </c>
    </row>
    <row x14ac:dyDescent="0.25" r="526" customHeight="1" ht="18.75">
      <c r="A526" s="2" t="s">
        <v>287</v>
      </c>
      <c r="B526" s="9" t="s">
        <v>346</v>
      </c>
      <c r="C526" s="2" t="s">
        <v>641</v>
      </c>
      <c r="D526" s="30" t="s">
        <v>154</v>
      </c>
    </row>
    <row x14ac:dyDescent="0.25" r="527" customHeight="1" ht="18.75">
      <c r="A527" s="2" t="s">
        <v>287</v>
      </c>
      <c r="B527" s="9" t="s">
        <v>346</v>
      </c>
      <c r="C527" s="2" t="s">
        <v>642</v>
      </c>
      <c r="D527" s="30" t="s">
        <v>154</v>
      </c>
    </row>
    <row x14ac:dyDescent="0.25" r="528" customHeight="1" ht="18.75">
      <c r="A528" s="2" t="s">
        <v>287</v>
      </c>
      <c r="B528" s="9" t="s">
        <v>346</v>
      </c>
      <c r="C528" s="2" t="s">
        <v>643</v>
      </c>
      <c r="D528" s="30" t="s">
        <v>154</v>
      </c>
    </row>
    <row x14ac:dyDescent="0.25" r="529" customHeight="1" ht="18.75">
      <c r="A529" s="2" t="s">
        <v>287</v>
      </c>
      <c r="B529" s="9" t="s">
        <v>346</v>
      </c>
      <c r="C529" s="2" t="s">
        <v>644</v>
      </c>
      <c r="D529" s="30" t="s">
        <v>154</v>
      </c>
    </row>
    <row x14ac:dyDescent="0.25" r="530" customHeight="1" ht="18.75">
      <c r="A530" s="2" t="s">
        <v>287</v>
      </c>
      <c r="B530" s="9" t="s">
        <v>346</v>
      </c>
      <c r="C530" s="2" t="s">
        <v>645</v>
      </c>
      <c r="D530" s="30" t="s">
        <v>154</v>
      </c>
    </row>
    <row x14ac:dyDescent="0.25" r="531" customHeight="1" ht="18.75">
      <c r="A531" s="2" t="s">
        <v>287</v>
      </c>
      <c r="B531" s="9" t="s">
        <v>292</v>
      </c>
      <c r="C531" s="2" t="s">
        <v>646</v>
      </c>
      <c r="D531" s="30" t="s">
        <v>153</v>
      </c>
    </row>
    <row x14ac:dyDescent="0.25" r="532" customHeight="1" ht="18.75">
      <c r="A532" s="2" t="s">
        <v>287</v>
      </c>
      <c r="B532" s="9" t="s">
        <v>292</v>
      </c>
      <c r="C532" s="2" t="s">
        <v>647</v>
      </c>
      <c r="D532" s="30" t="s">
        <v>154</v>
      </c>
    </row>
    <row x14ac:dyDescent="0.25" r="533" customHeight="1" ht="18.75">
      <c r="A533" s="2" t="s">
        <v>287</v>
      </c>
      <c r="B533" s="9" t="s">
        <v>302</v>
      </c>
      <c r="C533" s="2" t="s">
        <v>648</v>
      </c>
      <c r="D533" s="30" t="s">
        <v>154</v>
      </c>
    </row>
    <row x14ac:dyDescent="0.25" r="534" customHeight="1" ht="18.75">
      <c r="A534" s="2" t="s">
        <v>287</v>
      </c>
      <c r="B534" s="9" t="s">
        <v>296</v>
      </c>
      <c r="C534" s="2" t="s">
        <v>649</v>
      </c>
      <c r="D534" s="30" t="s">
        <v>154</v>
      </c>
    </row>
    <row x14ac:dyDescent="0.25" r="535" customHeight="1" ht="18.75">
      <c r="A535" s="2" t="s">
        <v>287</v>
      </c>
      <c r="B535" s="9" t="s">
        <v>616</v>
      </c>
      <c r="C535" s="2" t="s">
        <v>650</v>
      </c>
      <c r="D535" s="30" t="s">
        <v>154</v>
      </c>
    </row>
    <row x14ac:dyDescent="0.25" r="536" customHeight="1" ht="18.75">
      <c r="A536" s="2" t="s">
        <v>287</v>
      </c>
      <c r="B536" s="9" t="s">
        <v>343</v>
      </c>
      <c r="C536" s="2" t="s">
        <v>651</v>
      </c>
      <c r="D536" s="30" t="s">
        <v>154</v>
      </c>
    </row>
    <row x14ac:dyDescent="0.25" r="537" customHeight="1" ht="18.75">
      <c r="A537" s="2" t="s">
        <v>287</v>
      </c>
      <c r="B537" s="9" t="s">
        <v>343</v>
      </c>
      <c r="C537" s="2" t="s">
        <v>652</v>
      </c>
      <c r="D537" s="30" t="s">
        <v>154</v>
      </c>
    </row>
    <row x14ac:dyDescent="0.25" r="538" customHeight="1" ht="18.75">
      <c r="A538" s="2" t="s">
        <v>287</v>
      </c>
      <c r="B538" s="9" t="s">
        <v>343</v>
      </c>
      <c r="C538" s="2" t="s">
        <v>653</v>
      </c>
      <c r="D538" s="30" t="s">
        <v>154</v>
      </c>
    </row>
    <row x14ac:dyDescent="0.25" r="539" customHeight="1" ht="18.75">
      <c r="A539" s="2" t="s">
        <v>287</v>
      </c>
      <c r="B539" s="9" t="s">
        <v>343</v>
      </c>
      <c r="C539" s="2" t="s">
        <v>654</v>
      </c>
      <c r="D539" s="30" t="s">
        <v>154</v>
      </c>
    </row>
    <row x14ac:dyDescent="0.25" r="540" customHeight="1" ht="18.75">
      <c r="A540" s="2" t="s">
        <v>287</v>
      </c>
      <c r="B540" s="9" t="s">
        <v>343</v>
      </c>
      <c r="C540" s="2" t="s">
        <v>655</v>
      </c>
      <c r="D540" s="30" t="s">
        <v>208</v>
      </c>
    </row>
    <row x14ac:dyDescent="0.25" r="541" customHeight="1" ht="18.75">
      <c r="A541" s="2" t="s">
        <v>287</v>
      </c>
      <c r="B541" s="9" t="s">
        <v>313</v>
      </c>
      <c r="C541" s="2" t="s">
        <v>656</v>
      </c>
      <c r="D541" s="30" t="s">
        <v>173</v>
      </c>
    </row>
    <row x14ac:dyDescent="0.25" r="542" customHeight="1" ht="18.75">
      <c r="A542" s="2" t="s">
        <v>287</v>
      </c>
      <c r="B542" s="9" t="s">
        <v>336</v>
      </c>
      <c r="C542" s="2" t="s">
        <v>657</v>
      </c>
      <c r="D542" s="30" t="s">
        <v>154</v>
      </c>
    </row>
    <row x14ac:dyDescent="0.25" r="543" customHeight="1" ht="18.75">
      <c r="A543" s="2" t="s">
        <v>287</v>
      </c>
      <c r="B543" s="9" t="s">
        <v>292</v>
      </c>
      <c r="C543" s="2" t="s">
        <v>658</v>
      </c>
      <c r="D543" s="30" t="s">
        <v>154</v>
      </c>
    </row>
    <row x14ac:dyDescent="0.25" r="544" customHeight="1" ht="18.75">
      <c r="A544" s="2" t="s">
        <v>287</v>
      </c>
      <c r="B544" s="9" t="s">
        <v>423</v>
      </c>
      <c r="C544" s="2" t="s">
        <v>659</v>
      </c>
      <c r="D544" s="30" t="s">
        <v>173</v>
      </c>
    </row>
    <row x14ac:dyDescent="0.25" r="545" customHeight="1" ht="18.75">
      <c r="A545" s="2" t="s">
        <v>287</v>
      </c>
      <c r="B545" s="9" t="s">
        <v>331</v>
      </c>
      <c r="C545" s="2" t="s">
        <v>660</v>
      </c>
      <c r="D545" s="30" t="s">
        <v>173</v>
      </c>
    </row>
    <row x14ac:dyDescent="0.25" r="546" customHeight="1" ht="18.75">
      <c r="A546" s="2" t="s">
        <v>287</v>
      </c>
      <c r="B546" s="9" t="s">
        <v>423</v>
      </c>
      <c r="C546" s="2" t="s">
        <v>661</v>
      </c>
      <c r="D546" s="30" t="s">
        <v>154</v>
      </c>
    </row>
    <row x14ac:dyDescent="0.25" r="547" customHeight="1" ht="18.75">
      <c r="A547" s="2" t="s">
        <v>287</v>
      </c>
      <c r="B547" s="9" t="s">
        <v>402</v>
      </c>
      <c r="C547" s="2" t="s">
        <v>662</v>
      </c>
      <c r="D547" s="30" t="s">
        <v>154</v>
      </c>
    </row>
    <row x14ac:dyDescent="0.25" r="548" customHeight="1" ht="18.75">
      <c r="A548" s="2" t="s">
        <v>287</v>
      </c>
      <c r="B548" s="9" t="s">
        <v>304</v>
      </c>
      <c r="C548" s="2" t="s">
        <v>663</v>
      </c>
      <c r="D548" s="30" t="s">
        <v>154</v>
      </c>
    </row>
    <row x14ac:dyDescent="0.25" r="549" customHeight="1" ht="18.75">
      <c r="A549" s="2" t="s">
        <v>287</v>
      </c>
      <c r="B549" s="9" t="s">
        <v>423</v>
      </c>
      <c r="C549" s="2" t="s">
        <v>664</v>
      </c>
      <c r="D549" s="30" t="s">
        <v>154</v>
      </c>
    </row>
    <row x14ac:dyDescent="0.25" r="550" customHeight="1" ht="18.75">
      <c r="A550" s="2" t="s">
        <v>287</v>
      </c>
      <c r="B550" s="9" t="s">
        <v>409</v>
      </c>
      <c r="C550" s="2" t="s">
        <v>665</v>
      </c>
      <c r="D550" s="30" t="s">
        <v>154</v>
      </c>
    </row>
    <row x14ac:dyDescent="0.25" r="551" customHeight="1" ht="18.75">
      <c r="A551" s="2" t="s">
        <v>287</v>
      </c>
      <c r="B551" s="9" t="s">
        <v>409</v>
      </c>
      <c r="C551" s="2" t="s">
        <v>666</v>
      </c>
      <c r="D551" s="30" t="s">
        <v>154</v>
      </c>
    </row>
    <row x14ac:dyDescent="0.25" r="552" customHeight="1" ht="18.75">
      <c r="A552" s="2" t="s">
        <v>287</v>
      </c>
      <c r="B552" s="9" t="s">
        <v>288</v>
      </c>
      <c r="C552" s="2" t="s">
        <v>667</v>
      </c>
      <c r="D552" s="30" t="s">
        <v>173</v>
      </c>
    </row>
    <row x14ac:dyDescent="0.25" r="553" customHeight="1" ht="18.75">
      <c r="A553" s="2" t="s">
        <v>287</v>
      </c>
      <c r="B553" s="9" t="s">
        <v>336</v>
      </c>
      <c r="C553" s="2" t="s">
        <v>668</v>
      </c>
      <c r="D553" s="30" t="s">
        <v>154</v>
      </c>
    </row>
    <row x14ac:dyDescent="0.25" r="554" customHeight="1" ht="18.75">
      <c r="A554" s="2" t="s">
        <v>287</v>
      </c>
      <c r="B554" s="9" t="s">
        <v>343</v>
      </c>
      <c r="C554" s="2" t="s">
        <v>669</v>
      </c>
      <c r="D554" s="30" t="s">
        <v>154</v>
      </c>
    </row>
    <row x14ac:dyDescent="0.25" r="555" customHeight="1" ht="18.75">
      <c r="A555" s="2" t="s">
        <v>287</v>
      </c>
      <c r="B555" s="9" t="s">
        <v>398</v>
      </c>
      <c r="C555" s="2" t="s">
        <v>670</v>
      </c>
      <c r="D555" s="30" t="s">
        <v>173</v>
      </c>
    </row>
    <row x14ac:dyDescent="0.25" r="556" customHeight="1" ht="18.75">
      <c r="A556" s="2" t="s">
        <v>287</v>
      </c>
      <c r="B556" s="9" t="s">
        <v>407</v>
      </c>
      <c r="C556" s="2" t="s">
        <v>671</v>
      </c>
      <c r="D556" s="30" t="s">
        <v>154</v>
      </c>
    </row>
    <row x14ac:dyDescent="0.25" r="557" customHeight="1" ht="18.75">
      <c r="A557" s="2" t="s">
        <v>287</v>
      </c>
      <c r="B557" s="9" t="s">
        <v>296</v>
      </c>
      <c r="C557" s="2" t="s">
        <v>672</v>
      </c>
      <c r="D557" s="30" t="s">
        <v>175</v>
      </c>
    </row>
    <row x14ac:dyDescent="0.25" r="558" customHeight="1" ht="18.75">
      <c r="A558" s="2" t="s">
        <v>287</v>
      </c>
      <c r="B558" s="9" t="s">
        <v>315</v>
      </c>
      <c r="C558" s="2" t="s">
        <v>673</v>
      </c>
      <c r="D558" s="30" t="s">
        <v>173</v>
      </c>
    </row>
    <row x14ac:dyDescent="0.25" r="559" customHeight="1" ht="18.75">
      <c r="A559" s="2" t="s">
        <v>287</v>
      </c>
      <c r="B559" s="9" t="s">
        <v>302</v>
      </c>
      <c r="C559" s="2" t="s">
        <v>674</v>
      </c>
      <c r="D559" s="30" t="s">
        <v>154</v>
      </c>
    </row>
    <row x14ac:dyDescent="0.25" r="560" customHeight="1" ht="18.75">
      <c r="A560" s="2" t="s">
        <v>287</v>
      </c>
      <c r="B560" s="9" t="s">
        <v>302</v>
      </c>
      <c r="C560" s="2" t="s">
        <v>675</v>
      </c>
      <c r="D560" s="30" t="s">
        <v>154</v>
      </c>
    </row>
    <row x14ac:dyDescent="0.25" r="561" customHeight="1" ht="18.75">
      <c r="A561" s="2" t="s">
        <v>287</v>
      </c>
      <c r="B561" s="9" t="s">
        <v>329</v>
      </c>
      <c r="C561" s="2" t="s">
        <v>676</v>
      </c>
      <c r="D561" s="30" t="s">
        <v>208</v>
      </c>
    </row>
    <row x14ac:dyDescent="0.25" r="562" customHeight="1" ht="18.75">
      <c r="A562" s="2" t="s">
        <v>287</v>
      </c>
      <c r="B562" s="9" t="s">
        <v>343</v>
      </c>
      <c r="C562" s="2" t="s">
        <v>677</v>
      </c>
      <c r="D562" s="30" t="s">
        <v>154</v>
      </c>
    </row>
    <row x14ac:dyDescent="0.25" r="563" customHeight="1" ht="18.75">
      <c r="A563" s="2" t="s">
        <v>287</v>
      </c>
      <c r="B563" s="9" t="s">
        <v>394</v>
      </c>
      <c r="C563" s="2" t="s">
        <v>678</v>
      </c>
      <c r="D563" s="30" t="s">
        <v>154</v>
      </c>
    </row>
    <row x14ac:dyDescent="0.25" r="564" customHeight="1" ht="18.75">
      <c r="A564" s="2" t="s">
        <v>287</v>
      </c>
      <c r="B564" s="9" t="s">
        <v>296</v>
      </c>
      <c r="C564" s="2" t="s">
        <v>679</v>
      </c>
      <c r="D564" s="30" t="s">
        <v>154</v>
      </c>
    </row>
    <row x14ac:dyDescent="0.25" r="565" customHeight="1" ht="18.75">
      <c r="A565" s="2" t="s">
        <v>287</v>
      </c>
      <c r="B565" s="9" t="s">
        <v>292</v>
      </c>
      <c r="C565" s="2" t="s">
        <v>680</v>
      </c>
      <c r="D565" s="30" t="s">
        <v>154</v>
      </c>
    </row>
    <row x14ac:dyDescent="0.25" r="566" customHeight="1" ht="18.75">
      <c r="A566" s="2" t="s">
        <v>287</v>
      </c>
      <c r="B566" s="9" t="s">
        <v>296</v>
      </c>
      <c r="C566" s="2" t="s">
        <v>681</v>
      </c>
      <c r="D566" s="30" t="s">
        <v>154</v>
      </c>
    </row>
    <row x14ac:dyDescent="0.25" r="567" customHeight="1" ht="18.75">
      <c r="A567" s="2" t="s">
        <v>287</v>
      </c>
      <c r="B567" s="9" t="s">
        <v>398</v>
      </c>
      <c r="C567" s="2" t="s">
        <v>682</v>
      </c>
      <c r="D567" s="30" t="s">
        <v>175</v>
      </c>
    </row>
    <row x14ac:dyDescent="0.25" r="568" customHeight="1" ht="18.75">
      <c r="A568" s="2" t="s">
        <v>287</v>
      </c>
      <c r="B568" s="9" t="s">
        <v>302</v>
      </c>
      <c r="C568" s="2" t="s">
        <v>683</v>
      </c>
      <c r="D568" s="30" t="s">
        <v>154</v>
      </c>
    </row>
    <row x14ac:dyDescent="0.25" r="569" customHeight="1" ht="18.75">
      <c r="A569" s="2" t="s">
        <v>287</v>
      </c>
      <c r="B569" s="9" t="s">
        <v>318</v>
      </c>
      <c r="C569" s="2" t="s">
        <v>684</v>
      </c>
      <c r="D569" s="30" t="s">
        <v>154</v>
      </c>
    </row>
    <row x14ac:dyDescent="0.25" r="570" customHeight="1" ht="18.75">
      <c r="A570" s="2" t="s">
        <v>287</v>
      </c>
      <c r="B570" s="9" t="s">
        <v>298</v>
      </c>
      <c r="C570" s="2" t="s">
        <v>685</v>
      </c>
      <c r="D570" s="30" t="s">
        <v>286</v>
      </c>
    </row>
    <row x14ac:dyDescent="0.25" r="571" customHeight="1" ht="18.75">
      <c r="A571" s="2" t="s">
        <v>287</v>
      </c>
      <c r="B571" s="9" t="s">
        <v>398</v>
      </c>
      <c r="C571" s="2" t="s">
        <v>686</v>
      </c>
      <c r="D571" s="30" t="s">
        <v>154</v>
      </c>
    </row>
    <row x14ac:dyDescent="0.25" r="572" customHeight="1" ht="18.75">
      <c r="A572" s="2" t="s">
        <v>287</v>
      </c>
      <c r="B572" s="9" t="s">
        <v>396</v>
      </c>
      <c r="C572" s="2" t="s">
        <v>687</v>
      </c>
      <c r="D572" s="30" t="s">
        <v>173</v>
      </c>
    </row>
    <row x14ac:dyDescent="0.25" r="573" customHeight="1" ht="18.75">
      <c r="A573" s="2" t="s">
        <v>287</v>
      </c>
      <c r="B573" s="9" t="s">
        <v>288</v>
      </c>
      <c r="C573" s="2" t="s">
        <v>688</v>
      </c>
      <c r="D573" s="30" t="s">
        <v>173</v>
      </c>
    </row>
    <row x14ac:dyDescent="0.25" r="574" customHeight="1" ht="18.75">
      <c r="A574" s="2" t="s">
        <v>287</v>
      </c>
      <c r="B574" s="9" t="s">
        <v>366</v>
      </c>
      <c r="C574" s="2" t="s">
        <v>689</v>
      </c>
      <c r="D574" s="30" t="s">
        <v>155</v>
      </c>
    </row>
    <row x14ac:dyDescent="0.25" r="575" customHeight="1" ht="18.75">
      <c r="A575" s="2" t="s">
        <v>287</v>
      </c>
      <c r="B575" s="9" t="s">
        <v>302</v>
      </c>
      <c r="C575" s="2" t="s">
        <v>690</v>
      </c>
      <c r="D575" s="30" t="s">
        <v>154</v>
      </c>
    </row>
    <row x14ac:dyDescent="0.25" r="576" customHeight="1" ht="18.75">
      <c r="A576" s="2" t="s">
        <v>287</v>
      </c>
      <c r="B576" s="9" t="s">
        <v>304</v>
      </c>
      <c r="C576" s="2" t="s">
        <v>691</v>
      </c>
      <c r="D576" s="30" t="s">
        <v>173</v>
      </c>
    </row>
    <row x14ac:dyDescent="0.25" r="577" customHeight="1" ht="18.75">
      <c r="A577" s="2" t="s">
        <v>287</v>
      </c>
      <c r="B577" s="9" t="s">
        <v>304</v>
      </c>
      <c r="C577" s="2" t="s">
        <v>692</v>
      </c>
      <c r="D577" s="30" t="s">
        <v>175</v>
      </c>
    </row>
    <row x14ac:dyDescent="0.25" r="578" customHeight="1" ht="18.75">
      <c r="A578" s="2" t="s">
        <v>287</v>
      </c>
      <c r="B578" s="9" t="s">
        <v>402</v>
      </c>
      <c r="C578" s="2" t="s">
        <v>693</v>
      </c>
      <c r="D578" s="30" t="s">
        <v>154</v>
      </c>
    </row>
    <row x14ac:dyDescent="0.25" r="579" customHeight="1" ht="18.75">
      <c r="A579" s="2" t="s">
        <v>287</v>
      </c>
      <c r="B579" s="9" t="s">
        <v>288</v>
      </c>
      <c r="C579" s="2" t="s">
        <v>694</v>
      </c>
      <c r="D579" s="30" t="s">
        <v>173</v>
      </c>
    </row>
    <row x14ac:dyDescent="0.25" r="580" customHeight="1" ht="18.75">
      <c r="A580" s="2" t="s">
        <v>287</v>
      </c>
      <c r="B580" s="9" t="s">
        <v>288</v>
      </c>
      <c r="C580" s="2" t="s">
        <v>695</v>
      </c>
      <c r="D580" s="30" t="s">
        <v>173</v>
      </c>
    </row>
    <row x14ac:dyDescent="0.25" r="581" customHeight="1" ht="18.75">
      <c r="A581" s="2" t="s">
        <v>287</v>
      </c>
      <c r="B581" s="9" t="s">
        <v>304</v>
      </c>
      <c r="C581" s="2" t="s">
        <v>696</v>
      </c>
      <c r="D581" s="30" t="s">
        <v>154</v>
      </c>
    </row>
    <row x14ac:dyDescent="0.25" r="582" customHeight="1" ht="18.75">
      <c r="A582" s="2" t="s">
        <v>287</v>
      </c>
      <c r="B582" s="9" t="s">
        <v>396</v>
      </c>
      <c r="C582" s="2" t="s">
        <v>697</v>
      </c>
      <c r="D582" s="30" t="s">
        <v>173</v>
      </c>
    </row>
    <row x14ac:dyDescent="0.25" r="583" customHeight="1" ht="18.75">
      <c r="A583" s="2" t="s">
        <v>287</v>
      </c>
      <c r="B583" s="9" t="s">
        <v>318</v>
      </c>
      <c r="C583" s="2" t="s">
        <v>698</v>
      </c>
      <c r="D583" s="30" t="s">
        <v>173</v>
      </c>
    </row>
    <row x14ac:dyDescent="0.25" r="584" customHeight="1" ht="18.75">
      <c r="A584" s="2" t="s">
        <v>287</v>
      </c>
      <c r="B584" s="9" t="s">
        <v>616</v>
      </c>
      <c r="C584" s="2" t="s">
        <v>699</v>
      </c>
      <c r="D584" s="30" t="s">
        <v>154</v>
      </c>
    </row>
    <row x14ac:dyDescent="0.25" r="585" customHeight="1" ht="18.75">
      <c r="A585" s="2" t="s">
        <v>287</v>
      </c>
      <c r="B585" s="9" t="s">
        <v>700</v>
      </c>
      <c r="C585" s="2" t="s">
        <v>701</v>
      </c>
      <c r="D585" s="30" t="s">
        <v>173</v>
      </c>
    </row>
    <row x14ac:dyDescent="0.25" r="586" customHeight="1" ht="18.75">
      <c r="A586" s="2" t="s">
        <v>287</v>
      </c>
      <c r="B586" s="9" t="s">
        <v>296</v>
      </c>
      <c r="C586" s="2" t="s">
        <v>702</v>
      </c>
      <c r="D586" s="30" t="s">
        <v>175</v>
      </c>
    </row>
    <row x14ac:dyDescent="0.25" r="587" customHeight="1" ht="18.75">
      <c r="A587" s="2" t="s">
        <v>287</v>
      </c>
      <c r="B587" s="9" t="s">
        <v>343</v>
      </c>
      <c r="C587" s="2" t="s">
        <v>703</v>
      </c>
      <c r="D587" s="30" t="s">
        <v>154</v>
      </c>
    </row>
    <row x14ac:dyDescent="0.25" r="588" customHeight="1" ht="18.75">
      <c r="A588" s="2" t="s">
        <v>287</v>
      </c>
      <c r="B588" s="9" t="s">
        <v>616</v>
      </c>
      <c r="C588" s="2" t="s">
        <v>704</v>
      </c>
      <c r="D588" s="30" t="s">
        <v>154</v>
      </c>
    </row>
    <row x14ac:dyDescent="0.25" r="589" customHeight="1" ht="18.75">
      <c r="A589" s="2" t="s">
        <v>287</v>
      </c>
      <c r="B589" s="9" t="s">
        <v>616</v>
      </c>
      <c r="C589" s="2" t="s">
        <v>705</v>
      </c>
      <c r="D589" s="30" t="s">
        <v>154</v>
      </c>
    </row>
    <row x14ac:dyDescent="0.25" r="590" customHeight="1" ht="18.75">
      <c r="A590" s="2" t="s">
        <v>287</v>
      </c>
      <c r="B590" s="9" t="s">
        <v>302</v>
      </c>
      <c r="C590" s="2" t="s">
        <v>706</v>
      </c>
      <c r="D590" s="30" t="s">
        <v>154</v>
      </c>
    </row>
    <row x14ac:dyDescent="0.25" r="591" customHeight="1" ht="18.75">
      <c r="A591" s="2" t="s">
        <v>287</v>
      </c>
      <c r="B591" s="9" t="s">
        <v>407</v>
      </c>
      <c r="C591" s="2" t="s">
        <v>707</v>
      </c>
      <c r="D591" s="30" t="s">
        <v>154</v>
      </c>
    </row>
    <row x14ac:dyDescent="0.25" r="592" customHeight="1" ht="18.75">
      <c r="A592" s="2" t="s">
        <v>287</v>
      </c>
      <c r="B592" s="9" t="s">
        <v>396</v>
      </c>
      <c r="C592" s="2" t="s">
        <v>708</v>
      </c>
      <c r="D592" s="30" t="s">
        <v>173</v>
      </c>
    </row>
    <row x14ac:dyDescent="0.25" r="593" customHeight="1" ht="18.75">
      <c r="A593" s="2" t="s">
        <v>287</v>
      </c>
      <c r="B593" s="9" t="s">
        <v>302</v>
      </c>
      <c r="C593" s="2" t="s">
        <v>709</v>
      </c>
      <c r="D593" s="30" t="s">
        <v>154</v>
      </c>
    </row>
    <row x14ac:dyDescent="0.25" r="594" customHeight="1" ht="18.75">
      <c r="A594" s="2" t="s">
        <v>287</v>
      </c>
      <c r="B594" s="9" t="s">
        <v>398</v>
      </c>
      <c r="C594" s="2" t="s">
        <v>710</v>
      </c>
      <c r="D594" s="30" t="s">
        <v>173</v>
      </c>
    </row>
    <row x14ac:dyDescent="0.25" r="595" customHeight="1" ht="18.75">
      <c r="A595" s="2" t="s">
        <v>287</v>
      </c>
      <c r="B595" s="9" t="s">
        <v>394</v>
      </c>
      <c r="C595" s="2" t="s">
        <v>711</v>
      </c>
      <c r="D595" s="30" t="s">
        <v>154</v>
      </c>
    </row>
    <row x14ac:dyDescent="0.25" r="596" customHeight="1" ht="18.75">
      <c r="A596" s="2" t="s">
        <v>287</v>
      </c>
      <c r="B596" s="9" t="s">
        <v>336</v>
      </c>
      <c r="C596" s="2" t="s">
        <v>712</v>
      </c>
      <c r="D596" s="30" t="s">
        <v>154</v>
      </c>
    </row>
    <row x14ac:dyDescent="0.25" r="597" customHeight="1" ht="18.75">
      <c r="A597" s="2" t="s">
        <v>287</v>
      </c>
      <c r="B597" s="9" t="s">
        <v>302</v>
      </c>
      <c r="C597" s="2" t="s">
        <v>713</v>
      </c>
      <c r="D597" s="30" t="s">
        <v>154</v>
      </c>
    </row>
    <row x14ac:dyDescent="0.25" r="598" customHeight="1" ht="18.75">
      <c r="A598" s="2" t="s">
        <v>287</v>
      </c>
      <c r="B598" s="9" t="s">
        <v>315</v>
      </c>
      <c r="C598" s="2" t="s">
        <v>714</v>
      </c>
      <c r="D598" s="30" t="s">
        <v>154</v>
      </c>
    </row>
    <row x14ac:dyDescent="0.25" r="599" customHeight="1" ht="18.75">
      <c r="A599" s="2" t="s">
        <v>287</v>
      </c>
      <c r="B599" s="9" t="s">
        <v>304</v>
      </c>
      <c r="C599" s="2" t="s">
        <v>715</v>
      </c>
      <c r="D599" s="30" t="s">
        <v>173</v>
      </c>
    </row>
    <row x14ac:dyDescent="0.25" r="600" customHeight="1" ht="18.75">
      <c r="A600" s="2" t="s">
        <v>287</v>
      </c>
      <c r="B600" s="9" t="s">
        <v>336</v>
      </c>
      <c r="C600" s="2" t="s">
        <v>716</v>
      </c>
      <c r="D600" s="30" t="s">
        <v>154</v>
      </c>
    </row>
    <row x14ac:dyDescent="0.25" r="601" customHeight="1" ht="18.75">
      <c r="A601" s="2" t="s">
        <v>287</v>
      </c>
      <c r="B601" s="9" t="s">
        <v>302</v>
      </c>
      <c r="C601" s="2" t="s">
        <v>717</v>
      </c>
      <c r="D601" s="30" t="s">
        <v>173</v>
      </c>
    </row>
    <row x14ac:dyDescent="0.25" r="602" customHeight="1" ht="18.75">
      <c r="A602" s="2" t="s">
        <v>287</v>
      </c>
      <c r="B602" s="9" t="s">
        <v>413</v>
      </c>
      <c r="C602" s="2" t="s">
        <v>718</v>
      </c>
      <c r="D602" s="30" t="s">
        <v>154</v>
      </c>
    </row>
    <row x14ac:dyDescent="0.25" r="603" customHeight="1" ht="18.75">
      <c r="A603" s="2" t="s">
        <v>287</v>
      </c>
      <c r="B603" s="9" t="s">
        <v>336</v>
      </c>
      <c r="C603" s="2" t="s">
        <v>719</v>
      </c>
      <c r="D603" s="30" t="s">
        <v>173</v>
      </c>
    </row>
    <row x14ac:dyDescent="0.25" r="604" customHeight="1" ht="18.75">
      <c r="A604" s="2" t="s">
        <v>287</v>
      </c>
      <c r="B604" s="9" t="s">
        <v>304</v>
      </c>
      <c r="C604" s="2" t="s">
        <v>720</v>
      </c>
      <c r="D604" s="30" t="s">
        <v>173</v>
      </c>
    </row>
    <row x14ac:dyDescent="0.25" r="605" customHeight="1" ht="18.75">
      <c r="A605" s="2" t="s">
        <v>287</v>
      </c>
      <c r="B605" s="9" t="s">
        <v>398</v>
      </c>
      <c r="C605" s="2" t="s">
        <v>721</v>
      </c>
      <c r="D605" s="30" t="s">
        <v>173</v>
      </c>
    </row>
    <row x14ac:dyDescent="0.25" r="606" customHeight="1" ht="18.75">
      <c r="A606" s="2" t="s">
        <v>287</v>
      </c>
      <c r="B606" s="9" t="s">
        <v>402</v>
      </c>
      <c r="C606" s="2" t="s">
        <v>722</v>
      </c>
      <c r="D606" s="30" t="s">
        <v>154</v>
      </c>
    </row>
    <row x14ac:dyDescent="0.25" r="607" customHeight="1" ht="18.75">
      <c r="A607" s="2" t="s">
        <v>287</v>
      </c>
      <c r="B607" s="9" t="s">
        <v>302</v>
      </c>
      <c r="C607" s="2" t="s">
        <v>723</v>
      </c>
      <c r="D607" s="30" t="s">
        <v>154</v>
      </c>
    </row>
    <row x14ac:dyDescent="0.25" r="608" customHeight="1" ht="18.75">
      <c r="A608" s="2" t="s">
        <v>287</v>
      </c>
      <c r="B608" s="9" t="s">
        <v>304</v>
      </c>
      <c r="C608" s="2" t="s">
        <v>724</v>
      </c>
      <c r="D608" s="30" t="s">
        <v>173</v>
      </c>
    </row>
    <row x14ac:dyDescent="0.25" r="609" customHeight="1" ht="18.75">
      <c r="A609" s="2" t="s">
        <v>287</v>
      </c>
      <c r="B609" s="9" t="s">
        <v>296</v>
      </c>
      <c r="C609" s="2" t="s">
        <v>725</v>
      </c>
      <c r="D609" s="30" t="s">
        <v>173</v>
      </c>
    </row>
    <row x14ac:dyDescent="0.25" r="610" customHeight="1" ht="18.75">
      <c r="A610" s="2" t="s">
        <v>287</v>
      </c>
      <c r="B610" s="9" t="s">
        <v>364</v>
      </c>
      <c r="C610" s="2" t="s">
        <v>726</v>
      </c>
      <c r="D610" s="30" t="s">
        <v>154</v>
      </c>
    </row>
    <row x14ac:dyDescent="0.25" r="611" customHeight="1" ht="18.75">
      <c r="A611" s="2" t="s">
        <v>287</v>
      </c>
      <c r="B611" s="9" t="s">
        <v>304</v>
      </c>
      <c r="C611" s="2" t="s">
        <v>727</v>
      </c>
      <c r="D611" s="30" t="s">
        <v>173</v>
      </c>
    </row>
    <row x14ac:dyDescent="0.25" r="612" customHeight="1" ht="18.75">
      <c r="A612" s="2" t="s">
        <v>287</v>
      </c>
      <c r="B612" s="9" t="s">
        <v>398</v>
      </c>
      <c r="C612" s="2" t="s">
        <v>728</v>
      </c>
      <c r="D612" s="30" t="s">
        <v>154</v>
      </c>
    </row>
    <row x14ac:dyDescent="0.25" r="613" customHeight="1" ht="18.75">
      <c r="A613" s="2" t="s">
        <v>287</v>
      </c>
      <c r="B613" s="9" t="s">
        <v>374</v>
      </c>
      <c r="C613" s="2" t="s">
        <v>729</v>
      </c>
      <c r="D613" s="30" t="s">
        <v>154</v>
      </c>
    </row>
    <row x14ac:dyDescent="0.25" r="614" customHeight="1" ht="18.75">
      <c r="A614" s="2" t="s">
        <v>287</v>
      </c>
      <c r="B614" s="9" t="s">
        <v>294</v>
      </c>
      <c r="C614" s="2" t="s">
        <v>730</v>
      </c>
      <c r="D614" s="30" t="s">
        <v>154</v>
      </c>
    </row>
    <row x14ac:dyDescent="0.25" r="615" customHeight="1" ht="18.75">
      <c r="A615" s="2" t="s">
        <v>287</v>
      </c>
      <c r="B615" s="9" t="s">
        <v>396</v>
      </c>
      <c r="C615" s="2" t="s">
        <v>731</v>
      </c>
      <c r="D615" s="30" t="s">
        <v>173</v>
      </c>
    </row>
    <row x14ac:dyDescent="0.25" r="616" customHeight="1" ht="18.75">
      <c r="A616" s="2" t="s">
        <v>287</v>
      </c>
      <c r="B616" s="9" t="s">
        <v>302</v>
      </c>
      <c r="C616" s="2" t="s">
        <v>732</v>
      </c>
      <c r="D616" s="30" t="s">
        <v>154</v>
      </c>
    </row>
    <row x14ac:dyDescent="0.25" r="617" customHeight="1" ht="18.75">
      <c r="A617" s="2" t="s">
        <v>287</v>
      </c>
      <c r="B617" s="9" t="s">
        <v>296</v>
      </c>
      <c r="C617" s="2" t="s">
        <v>733</v>
      </c>
      <c r="D617" s="30" t="s">
        <v>173</v>
      </c>
    </row>
    <row x14ac:dyDescent="0.25" r="618" customHeight="1" ht="18.75">
      <c r="A618" s="2" t="s">
        <v>287</v>
      </c>
      <c r="B618" s="9" t="s">
        <v>343</v>
      </c>
      <c r="C618" s="2" t="s">
        <v>734</v>
      </c>
      <c r="D618" s="30" t="s">
        <v>154</v>
      </c>
    </row>
    <row x14ac:dyDescent="0.25" r="619" customHeight="1" ht="18.75">
      <c r="A619" s="2" t="s">
        <v>287</v>
      </c>
      <c r="B619" s="9" t="s">
        <v>423</v>
      </c>
      <c r="C619" s="2" t="s">
        <v>735</v>
      </c>
      <c r="D619" s="30" t="s">
        <v>154</v>
      </c>
    </row>
    <row x14ac:dyDescent="0.25" r="620" customHeight="1" ht="18.75">
      <c r="A620" s="2" t="s">
        <v>287</v>
      </c>
      <c r="B620" s="9" t="s">
        <v>402</v>
      </c>
      <c r="C620" s="2" t="s">
        <v>736</v>
      </c>
      <c r="D620" s="30" t="s">
        <v>154</v>
      </c>
    </row>
    <row x14ac:dyDescent="0.25" r="621" customHeight="1" ht="18.75">
      <c r="A621" s="2" t="s">
        <v>287</v>
      </c>
      <c r="B621" s="9" t="s">
        <v>423</v>
      </c>
      <c r="C621" s="2" t="s">
        <v>737</v>
      </c>
      <c r="D621" s="30" t="s">
        <v>154</v>
      </c>
    </row>
    <row x14ac:dyDescent="0.25" r="622" customHeight="1" ht="18.75">
      <c r="A622" s="2" t="s">
        <v>287</v>
      </c>
      <c r="B622" s="9" t="s">
        <v>396</v>
      </c>
      <c r="C622" s="2" t="s">
        <v>738</v>
      </c>
      <c r="D622" s="30" t="s">
        <v>173</v>
      </c>
    </row>
    <row x14ac:dyDescent="0.25" r="623" customHeight="1" ht="18.75">
      <c r="A623" s="2" t="s">
        <v>287</v>
      </c>
      <c r="B623" s="9" t="s">
        <v>304</v>
      </c>
      <c r="C623" s="2" t="s">
        <v>739</v>
      </c>
      <c r="D623" s="30" t="s">
        <v>173</v>
      </c>
    </row>
    <row x14ac:dyDescent="0.25" r="624" customHeight="1" ht="18.75">
      <c r="A624" s="2" t="s">
        <v>287</v>
      </c>
      <c r="B624" s="9" t="s">
        <v>402</v>
      </c>
      <c r="C624" s="2" t="s">
        <v>740</v>
      </c>
      <c r="D624" s="30" t="s">
        <v>154</v>
      </c>
    </row>
    <row x14ac:dyDescent="0.25" r="625" customHeight="1" ht="18.75">
      <c r="A625" s="2" t="s">
        <v>287</v>
      </c>
      <c r="B625" s="9" t="s">
        <v>396</v>
      </c>
      <c r="C625" s="2" t="s">
        <v>741</v>
      </c>
      <c r="D625" s="30" t="s">
        <v>173</v>
      </c>
    </row>
    <row x14ac:dyDescent="0.25" r="626" customHeight="1" ht="18.75">
      <c r="A626" s="2" t="s">
        <v>287</v>
      </c>
      <c r="B626" s="9" t="s">
        <v>423</v>
      </c>
      <c r="C626" s="2" t="s">
        <v>742</v>
      </c>
      <c r="D626" s="30" t="s">
        <v>173</v>
      </c>
    </row>
    <row x14ac:dyDescent="0.25" r="627" customHeight="1" ht="18.75">
      <c r="A627" s="2" t="s">
        <v>287</v>
      </c>
      <c r="B627" s="9" t="s">
        <v>302</v>
      </c>
      <c r="C627" s="2" t="s">
        <v>743</v>
      </c>
      <c r="D627" s="30" t="s">
        <v>286</v>
      </c>
    </row>
    <row x14ac:dyDescent="0.25" r="628" customHeight="1" ht="18.75">
      <c r="A628" s="2" t="s">
        <v>287</v>
      </c>
      <c r="B628" s="9" t="s">
        <v>302</v>
      </c>
      <c r="C628" s="2" t="s">
        <v>744</v>
      </c>
      <c r="D628" s="30" t="s">
        <v>175</v>
      </c>
    </row>
    <row x14ac:dyDescent="0.25" r="629" customHeight="1" ht="18.75">
      <c r="A629" s="2" t="s">
        <v>287</v>
      </c>
      <c r="B629" s="9" t="s">
        <v>304</v>
      </c>
      <c r="C629" s="2" t="s">
        <v>745</v>
      </c>
      <c r="D629" s="30" t="s">
        <v>154</v>
      </c>
    </row>
    <row x14ac:dyDescent="0.25" r="630" customHeight="1" ht="18.75">
      <c r="A630" s="2" t="s">
        <v>287</v>
      </c>
      <c r="B630" s="9" t="s">
        <v>423</v>
      </c>
      <c r="C630" s="2" t="s">
        <v>746</v>
      </c>
      <c r="D630" s="30" t="s">
        <v>154</v>
      </c>
    </row>
    <row x14ac:dyDescent="0.25" r="631" customHeight="1" ht="18.75">
      <c r="A631" s="2" t="s">
        <v>287</v>
      </c>
      <c r="B631" s="9" t="s">
        <v>309</v>
      </c>
      <c r="C631" s="2" t="s">
        <v>747</v>
      </c>
      <c r="D631" s="30" t="s">
        <v>154</v>
      </c>
    </row>
    <row x14ac:dyDescent="0.25" r="632" customHeight="1" ht="18.75">
      <c r="A632" s="2" t="s">
        <v>287</v>
      </c>
      <c r="B632" s="9" t="s">
        <v>402</v>
      </c>
      <c r="C632" s="2" t="s">
        <v>748</v>
      </c>
      <c r="D632" s="30" t="s">
        <v>173</v>
      </c>
    </row>
    <row x14ac:dyDescent="0.25" r="633" customHeight="1" ht="18.75">
      <c r="A633" s="2" t="s">
        <v>287</v>
      </c>
      <c r="B633" s="9" t="s">
        <v>402</v>
      </c>
      <c r="C633" s="2" t="s">
        <v>749</v>
      </c>
      <c r="D633" s="30" t="s">
        <v>173</v>
      </c>
    </row>
    <row x14ac:dyDescent="0.25" r="634" customHeight="1" ht="18.75">
      <c r="A634" s="2" t="s">
        <v>287</v>
      </c>
      <c r="B634" s="9" t="s">
        <v>402</v>
      </c>
      <c r="C634" s="2" t="s">
        <v>750</v>
      </c>
      <c r="D634" s="30" t="s">
        <v>154</v>
      </c>
    </row>
    <row x14ac:dyDescent="0.25" r="635" customHeight="1" ht="18.75">
      <c r="A635" s="2" t="s">
        <v>287</v>
      </c>
      <c r="B635" s="9" t="s">
        <v>288</v>
      </c>
      <c r="C635" s="2" t="s">
        <v>751</v>
      </c>
      <c r="D635" s="30" t="s">
        <v>173</v>
      </c>
    </row>
    <row x14ac:dyDescent="0.25" r="636" customHeight="1" ht="18.75">
      <c r="A636" s="2" t="s">
        <v>287</v>
      </c>
      <c r="B636" s="9" t="s">
        <v>396</v>
      </c>
      <c r="C636" s="2" t="s">
        <v>752</v>
      </c>
      <c r="D636" s="30" t="s">
        <v>173</v>
      </c>
    </row>
    <row x14ac:dyDescent="0.25" r="637" customHeight="1" ht="18.75">
      <c r="A637" s="2" t="s">
        <v>287</v>
      </c>
      <c r="B637" s="9" t="s">
        <v>396</v>
      </c>
      <c r="C637" s="2" t="s">
        <v>753</v>
      </c>
      <c r="D637" s="30" t="s">
        <v>173</v>
      </c>
    </row>
    <row x14ac:dyDescent="0.25" r="638" customHeight="1" ht="18.75">
      <c r="A638" s="2" t="s">
        <v>287</v>
      </c>
      <c r="B638" s="9" t="s">
        <v>292</v>
      </c>
      <c r="C638" s="2" t="s">
        <v>754</v>
      </c>
      <c r="D638" s="30" t="s">
        <v>286</v>
      </c>
    </row>
    <row x14ac:dyDescent="0.25" r="639" customHeight="1" ht="18.75">
      <c r="A639" s="2" t="s">
        <v>287</v>
      </c>
      <c r="B639" s="9" t="s">
        <v>290</v>
      </c>
      <c r="C639" s="2" t="s">
        <v>755</v>
      </c>
      <c r="D639" s="30" t="s">
        <v>154</v>
      </c>
    </row>
    <row x14ac:dyDescent="0.25" r="640" customHeight="1" ht="18.75">
      <c r="A640" s="2" t="s">
        <v>287</v>
      </c>
      <c r="B640" s="9" t="s">
        <v>300</v>
      </c>
      <c r="C640" s="2" t="s">
        <v>756</v>
      </c>
      <c r="D640" s="30" t="s">
        <v>286</v>
      </c>
    </row>
    <row x14ac:dyDescent="0.25" r="641" customHeight="1" ht="18.75">
      <c r="A641" s="2" t="s">
        <v>287</v>
      </c>
      <c r="B641" s="9" t="s">
        <v>423</v>
      </c>
      <c r="C641" s="2" t="s">
        <v>757</v>
      </c>
      <c r="D641" s="30" t="s">
        <v>173</v>
      </c>
    </row>
    <row x14ac:dyDescent="0.25" r="642" customHeight="1" ht="18.75">
      <c r="A642" s="2" t="s">
        <v>287</v>
      </c>
      <c r="B642" s="9" t="s">
        <v>304</v>
      </c>
      <c r="C642" s="2" t="s">
        <v>758</v>
      </c>
      <c r="D642" s="30" t="s">
        <v>286</v>
      </c>
    </row>
    <row x14ac:dyDescent="0.25" r="643" customHeight="1" ht="18.75">
      <c r="A643" s="2" t="s">
        <v>287</v>
      </c>
      <c r="B643" s="9" t="s">
        <v>300</v>
      </c>
      <c r="C643" s="2" t="s">
        <v>759</v>
      </c>
      <c r="D643" s="30" t="s">
        <v>208</v>
      </c>
    </row>
    <row x14ac:dyDescent="0.25" r="644" customHeight="1" ht="18.75">
      <c r="A644" s="2" t="s">
        <v>287</v>
      </c>
      <c r="B644" s="9" t="s">
        <v>346</v>
      </c>
      <c r="C644" s="2" t="s">
        <v>760</v>
      </c>
      <c r="D644" s="30" t="s">
        <v>208</v>
      </c>
    </row>
    <row x14ac:dyDescent="0.25" r="645" customHeight="1" ht="18.75">
      <c r="A645" s="2" t="s">
        <v>287</v>
      </c>
      <c r="B645" s="9" t="s">
        <v>304</v>
      </c>
      <c r="C645" s="2" t="s">
        <v>761</v>
      </c>
      <c r="D645" s="30" t="s">
        <v>153</v>
      </c>
    </row>
    <row x14ac:dyDescent="0.25" r="646" customHeight="1" ht="18.75">
      <c r="A646" s="2" t="s">
        <v>287</v>
      </c>
      <c r="B646" s="9" t="s">
        <v>311</v>
      </c>
      <c r="C646" s="2" t="s">
        <v>762</v>
      </c>
      <c r="D646" s="30" t="s">
        <v>154</v>
      </c>
    </row>
    <row x14ac:dyDescent="0.25" r="647" customHeight="1" ht="18.75">
      <c r="A647" s="2" t="s">
        <v>287</v>
      </c>
      <c r="B647" s="9" t="s">
        <v>322</v>
      </c>
      <c r="C647" s="2" t="s">
        <v>763</v>
      </c>
      <c r="D647" s="30" t="s">
        <v>173</v>
      </c>
    </row>
    <row x14ac:dyDescent="0.25" r="648" customHeight="1" ht="18.75">
      <c r="A648" s="2" t="s">
        <v>287</v>
      </c>
      <c r="B648" s="9" t="s">
        <v>322</v>
      </c>
      <c r="C648" s="2" t="s">
        <v>764</v>
      </c>
      <c r="D648" s="30" t="s">
        <v>154</v>
      </c>
    </row>
    <row x14ac:dyDescent="0.25" r="649" customHeight="1" ht="18.75">
      <c r="A649" s="2" t="s">
        <v>287</v>
      </c>
      <c r="B649" s="3" t="s">
        <v>626</v>
      </c>
      <c r="C649" s="1" t="s">
        <v>765</v>
      </c>
      <c r="D649" s="30" t="s">
        <v>209</v>
      </c>
    </row>
    <row x14ac:dyDescent="0.25" r="650" customHeight="1" ht="18.75">
      <c r="A650" s="2" t="s">
        <v>287</v>
      </c>
      <c r="B650" s="9" t="s">
        <v>336</v>
      </c>
      <c r="C650" s="2" t="s">
        <v>766</v>
      </c>
      <c r="D650" s="30" t="s">
        <v>155</v>
      </c>
    </row>
    <row x14ac:dyDescent="0.25" r="651" customHeight="1" ht="18.75">
      <c r="A651" s="2" t="s">
        <v>287</v>
      </c>
      <c r="B651" s="3" t="s">
        <v>336</v>
      </c>
      <c r="C651" s="2" t="s">
        <v>767</v>
      </c>
      <c r="D651" s="30" t="s">
        <v>152</v>
      </c>
    </row>
    <row x14ac:dyDescent="0.25" r="652" customHeight="1" ht="18.75">
      <c r="A652" s="2" t="s">
        <v>287</v>
      </c>
      <c r="B652" s="9" t="s">
        <v>346</v>
      </c>
      <c r="C652" s="31" t="s">
        <v>768</v>
      </c>
      <c r="D652" s="30" t="s">
        <v>227</v>
      </c>
    </row>
    <row x14ac:dyDescent="0.25" r="653" customHeight="1" ht="18.75">
      <c r="A653" s="2" t="s">
        <v>287</v>
      </c>
      <c r="B653" s="9" t="s">
        <v>346</v>
      </c>
      <c r="C653" s="31" t="s">
        <v>769</v>
      </c>
      <c r="D653" s="30" t="s">
        <v>153</v>
      </c>
    </row>
    <row x14ac:dyDescent="0.25" r="654" customHeight="1" ht="18.75">
      <c r="A654" s="2" t="s">
        <v>287</v>
      </c>
      <c r="B654" s="9" t="s">
        <v>315</v>
      </c>
      <c r="C654" s="31" t="s">
        <v>770</v>
      </c>
      <c r="D654" s="30" t="s">
        <v>173</v>
      </c>
    </row>
    <row x14ac:dyDescent="0.25" r="655" customHeight="1" ht="18.75">
      <c r="A655" s="2" t="s">
        <v>287</v>
      </c>
      <c r="B655" s="9" t="s">
        <v>315</v>
      </c>
      <c r="C655" s="31" t="s">
        <v>771</v>
      </c>
      <c r="D655" s="30" t="s">
        <v>208</v>
      </c>
    </row>
    <row x14ac:dyDescent="0.25" r="656" customHeight="1" ht="18.75">
      <c r="A656" s="2" t="s">
        <v>287</v>
      </c>
      <c r="B656" s="9" t="s">
        <v>404</v>
      </c>
      <c r="C656" s="31" t="s">
        <v>772</v>
      </c>
      <c r="D656" s="30" t="s">
        <v>173</v>
      </c>
    </row>
    <row x14ac:dyDescent="0.25" r="657" customHeight="1" ht="18.75">
      <c r="A657" s="2" t="s">
        <v>287</v>
      </c>
      <c r="B657" s="9" t="s">
        <v>402</v>
      </c>
      <c r="C657" s="31" t="s">
        <v>773</v>
      </c>
      <c r="D657" s="30" t="s">
        <v>154</v>
      </c>
    </row>
    <row x14ac:dyDescent="0.25" r="658" customHeight="1" ht="18.75">
      <c r="A658" s="2" t="s">
        <v>287</v>
      </c>
      <c r="B658" s="9" t="s">
        <v>404</v>
      </c>
      <c r="C658" s="31" t="s">
        <v>774</v>
      </c>
      <c r="D658" s="30" t="s">
        <v>173</v>
      </c>
    </row>
    <row x14ac:dyDescent="0.25" r="659" customHeight="1" ht="18.75">
      <c r="A659" s="2" t="s">
        <v>287</v>
      </c>
      <c r="B659" s="9" t="s">
        <v>612</v>
      </c>
      <c r="C659" s="31" t="s">
        <v>775</v>
      </c>
      <c r="D659" s="30" t="s">
        <v>175</v>
      </c>
    </row>
    <row x14ac:dyDescent="0.25" r="660" customHeight="1" ht="18.75">
      <c r="A660" s="2" t="s">
        <v>287</v>
      </c>
      <c r="B660" s="9" t="s">
        <v>404</v>
      </c>
      <c r="C660" s="31" t="s">
        <v>776</v>
      </c>
      <c r="D660" s="30" t="s">
        <v>227</v>
      </c>
    </row>
    <row x14ac:dyDescent="0.25" r="661" customHeight="1" ht="18.75">
      <c r="A661" s="2" t="s">
        <v>287</v>
      </c>
      <c r="B661" s="9" t="s">
        <v>404</v>
      </c>
      <c r="C661" s="31" t="s">
        <v>777</v>
      </c>
      <c r="D661" s="30" t="s">
        <v>153</v>
      </c>
    </row>
    <row x14ac:dyDescent="0.25" r="662" customHeight="1" ht="18.75">
      <c r="A662" s="2" t="s">
        <v>287</v>
      </c>
      <c r="B662" s="9" t="s">
        <v>404</v>
      </c>
      <c r="C662" s="31" t="s">
        <v>778</v>
      </c>
      <c r="D662" s="30" t="s">
        <v>227</v>
      </c>
    </row>
    <row x14ac:dyDescent="0.25" r="663" customHeight="1" ht="18.75">
      <c r="A663" s="2" t="s">
        <v>287</v>
      </c>
      <c r="B663" s="9" t="s">
        <v>404</v>
      </c>
      <c r="C663" s="31" t="s">
        <v>779</v>
      </c>
      <c r="D663" s="30" t="s">
        <v>153</v>
      </c>
    </row>
    <row x14ac:dyDescent="0.25" r="664" customHeight="1" ht="18.75">
      <c r="A664" s="2" t="s">
        <v>287</v>
      </c>
      <c r="B664" s="9" t="s">
        <v>780</v>
      </c>
      <c r="C664" s="31" t="s">
        <v>781</v>
      </c>
      <c r="D664" s="30" t="s">
        <v>227</v>
      </c>
    </row>
    <row x14ac:dyDescent="0.25" r="665" customHeight="1" ht="18.75">
      <c r="A665" s="2" t="s">
        <v>287</v>
      </c>
      <c r="B665" s="9" t="s">
        <v>780</v>
      </c>
      <c r="C665" s="31" t="s">
        <v>782</v>
      </c>
      <c r="D665" s="30" t="s">
        <v>227</v>
      </c>
    </row>
    <row x14ac:dyDescent="0.25" r="666" customHeight="1" ht="18.75">
      <c r="A666" s="2" t="s">
        <v>287</v>
      </c>
      <c r="B666" s="35" t="s">
        <v>404</v>
      </c>
      <c r="C666" s="31" t="s">
        <v>783</v>
      </c>
      <c r="D666" s="30" t="s">
        <v>222</v>
      </c>
    </row>
    <row x14ac:dyDescent="0.25" r="667" customHeight="1" ht="18.75">
      <c r="A667" s="2" t="s">
        <v>287</v>
      </c>
      <c r="B667" s="35" t="s">
        <v>404</v>
      </c>
      <c r="C667" s="31" t="s">
        <v>784</v>
      </c>
      <c r="D667" s="30" t="s">
        <v>222</v>
      </c>
    </row>
    <row x14ac:dyDescent="0.25" r="668" customHeight="1" ht="18.75">
      <c r="A668" s="2" t="s">
        <v>287</v>
      </c>
      <c r="B668" s="35" t="s">
        <v>404</v>
      </c>
      <c r="C668" s="31" t="s">
        <v>785</v>
      </c>
      <c r="D668" s="30" t="s">
        <v>222</v>
      </c>
    </row>
    <row x14ac:dyDescent="0.25" r="669" customHeight="1" ht="18.75">
      <c r="A669" s="2" t="s">
        <v>287</v>
      </c>
      <c r="B669" s="35" t="s">
        <v>404</v>
      </c>
      <c r="C669" s="31" t="s">
        <v>786</v>
      </c>
      <c r="D669" s="30" t="s">
        <v>222</v>
      </c>
    </row>
    <row x14ac:dyDescent="0.25" r="670" customHeight="1" ht="18.75">
      <c r="A670" s="2" t="s">
        <v>287</v>
      </c>
      <c r="B670" s="35" t="s">
        <v>404</v>
      </c>
      <c r="C670" s="31" t="s">
        <v>787</v>
      </c>
      <c r="D670" s="30" t="s">
        <v>222</v>
      </c>
    </row>
    <row x14ac:dyDescent="0.25" r="671" customHeight="1" ht="18.75">
      <c r="A671" s="2" t="s">
        <v>287</v>
      </c>
      <c r="B671" s="35" t="s">
        <v>404</v>
      </c>
      <c r="C671" s="31" t="s">
        <v>788</v>
      </c>
      <c r="D671" s="30" t="s">
        <v>222</v>
      </c>
    </row>
    <row x14ac:dyDescent="0.25" r="672" customHeight="1" ht="18.75">
      <c r="A672" s="2" t="s">
        <v>287</v>
      </c>
      <c r="B672" s="9" t="s">
        <v>343</v>
      </c>
      <c r="C672" s="31" t="s">
        <v>789</v>
      </c>
      <c r="D672" s="30" t="s">
        <v>227</v>
      </c>
    </row>
    <row x14ac:dyDescent="0.25" r="673" customHeight="1" ht="18.75">
      <c r="A673" s="2" t="s">
        <v>287</v>
      </c>
      <c r="B673" s="3" t="s">
        <v>343</v>
      </c>
      <c r="C673" s="31" t="s">
        <v>790</v>
      </c>
      <c r="D673" s="30" t="s">
        <v>154</v>
      </c>
    </row>
    <row x14ac:dyDescent="0.25" r="674" customHeight="1" ht="18.75">
      <c r="A674" s="2" t="s">
        <v>287</v>
      </c>
      <c r="B674" s="9" t="s">
        <v>791</v>
      </c>
      <c r="C674" s="31" t="s">
        <v>792</v>
      </c>
      <c r="D674" s="30" t="s">
        <v>208</v>
      </c>
    </row>
    <row x14ac:dyDescent="0.25" r="675" customHeight="1" ht="18.75">
      <c r="A675" s="2" t="s">
        <v>287</v>
      </c>
      <c r="B675" s="9" t="s">
        <v>791</v>
      </c>
      <c r="C675" s="31" t="s">
        <v>793</v>
      </c>
      <c r="D675" s="30" t="s">
        <v>173</v>
      </c>
    </row>
    <row x14ac:dyDescent="0.25" r="676" customHeight="1" ht="18.75">
      <c r="A676" s="2" t="s">
        <v>287</v>
      </c>
      <c r="B676" s="3" t="s">
        <v>315</v>
      </c>
      <c r="C676" s="31" t="s">
        <v>794</v>
      </c>
      <c r="D676" s="30" t="s">
        <v>173</v>
      </c>
    </row>
    <row x14ac:dyDescent="0.25" r="677" customHeight="1" ht="18.75">
      <c r="A677" s="2" t="s">
        <v>287</v>
      </c>
      <c r="B677" s="3" t="s">
        <v>398</v>
      </c>
      <c r="C677" s="31" t="s">
        <v>795</v>
      </c>
      <c r="D677" s="30" t="s">
        <v>209</v>
      </c>
    </row>
    <row x14ac:dyDescent="0.25" r="678" customHeight="1" ht="18.75">
      <c r="A678" s="2" t="s">
        <v>287</v>
      </c>
      <c r="B678" s="9" t="s">
        <v>336</v>
      </c>
      <c r="C678" s="31" t="s">
        <v>796</v>
      </c>
      <c r="D678" s="30" t="s">
        <v>173</v>
      </c>
    </row>
    <row x14ac:dyDescent="0.25" r="679" customHeight="1" ht="18.75">
      <c r="A679" s="2" t="s">
        <v>287</v>
      </c>
      <c r="B679" s="3" t="s">
        <v>296</v>
      </c>
      <c r="C679" s="31" t="s">
        <v>797</v>
      </c>
      <c r="D679" s="30" t="s">
        <v>173</v>
      </c>
    </row>
    <row x14ac:dyDescent="0.25" r="680" customHeight="1" ht="18.75">
      <c r="A680" s="2" t="s">
        <v>287</v>
      </c>
      <c r="B680" s="9" t="s">
        <v>304</v>
      </c>
      <c r="C680" s="2" t="s">
        <v>798</v>
      </c>
      <c r="D680" s="30" t="s">
        <v>173</v>
      </c>
    </row>
    <row x14ac:dyDescent="0.25" r="681" customHeight="1" ht="18.75">
      <c r="A681" s="2" t="s">
        <v>287</v>
      </c>
      <c r="B681" s="9" t="s">
        <v>560</v>
      </c>
      <c r="C681" s="2" t="s">
        <v>798</v>
      </c>
      <c r="D681" s="30" t="s">
        <v>154</v>
      </c>
    </row>
    <row x14ac:dyDescent="0.25" r="682" customHeight="1" ht="18.75">
      <c r="A682" s="2" t="s">
        <v>287</v>
      </c>
      <c r="B682" s="3" t="s">
        <v>799</v>
      </c>
      <c r="C682" s="2" t="s">
        <v>798</v>
      </c>
      <c r="D682" s="30" t="s">
        <v>173</v>
      </c>
    </row>
    <row x14ac:dyDescent="0.25" r="683" customHeight="1" ht="18.75">
      <c r="A683" s="2" t="s">
        <v>287</v>
      </c>
      <c r="B683" s="9" t="s">
        <v>304</v>
      </c>
      <c r="C683" s="2" t="s">
        <v>800</v>
      </c>
      <c r="D683" s="30" t="s">
        <v>175</v>
      </c>
    </row>
    <row x14ac:dyDescent="0.25" r="684" customHeight="1" ht="18.75">
      <c r="A684" s="2" t="s">
        <v>287</v>
      </c>
      <c r="B684" s="9" t="s">
        <v>421</v>
      </c>
      <c r="C684" s="2" t="s">
        <v>800</v>
      </c>
      <c r="D684" s="30" t="s">
        <v>173</v>
      </c>
    </row>
    <row x14ac:dyDescent="0.25" r="685" customHeight="1" ht="18.75">
      <c r="A685" s="2" t="s">
        <v>287</v>
      </c>
      <c r="B685" s="9" t="s">
        <v>315</v>
      </c>
      <c r="C685" s="2" t="s">
        <v>801</v>
      </c>
      <c r="D685" s="30" t="s">
        <v>173</v>
      </c>
    </row>
    <row x14ac:dyDescent="0.25" r="686" customHeight="1" ht="18.75">
      <c r="A686" s="2" t="s">
        <v>287</v>
      </c>
      <c r="B686" s="9" t="s">
        <v>560</v>
      </c>
      <c r="C686" s="2" t="s">
        <v>801</v>
      </c>
      <c r="D686" s="30" t="s">
        <v>227</v>
      </c>
    </row>
    <row x14ac:dyDescent="0.25" r="687" customHeight="1" ht="18.75">
      <c r="A687" s="2" t="s">
        <v>287</v>
      </c>
      <c r="B687" s="3" t="s">
        <v>626</v>
      </c>
      <c r="C687" s="2" t="s">
        <v>801</v>
      </c>
      <c r="D687" s="30" t="s">
        <v>154</v>
      </c>
    </row>
    <row x14ac:dyDescent="0.25" r="688" customHeight="1" ht="18.75">
      <c r="A688" s="2" t="s">
        <v>287</v>
      </c>
      <c r="B688" s="9" t="s">
        <v>304</v>
      </c>
      <c r="C688" s="2" t="s">
        <v>802</v>
      </c>
      <c r="D688" s="30" t="s">
        <v>173</v>
      </c>
    </row>
    <row x14ac:dyDescent="0.25" r="689" customHeight="1" ht="18.75">
      <c r="A689" s="2" t="s">
        <v>287</v>
      </c>
      <c r="B689" s="9" t="s">
        <v>612</v>
      </c>
      <c r="C689" s="2" t="s">
        <v>802</v>
      </c>
      <c r="D689" s="30" t="s">
        <v>154</v>
      </c>
    </row>
    <row x14ac:dyDescent="0.25" r="690" customHeight="1" ht="18.75">
      <c r="A690" s="2" t="s">
        <v>287</v>
      </c>
      <c r="B690" s="9" t="s">
        <v>700</v>
      </c>
      <c r="C690" s="2" t="s">
        <v>803</v>
      </c>
      <c r="D690" s="30" t="s">
        <v>173</v>
      </c>
    </row>
    <row x14ac:dyDescent="0.25" r="691" customHeight="1" ht="18.75">
      <c r="A691" s="2" t="s">
        <v>287</v>
      </c>
      <c r="B691" s="9" t="s">
        <v>296</v>
      </c>
      <c r="C691" s="2" t="s">
        <v>803</v>
      </c>
      <c r="D691" s="30" t="s">
        <v>154</v>
      </c>
    </row>
    <row x14ac:dyDescent="0.25" r="692" customHeight="1" ht="18.75">
      <c r="A692" s="2" t="s">
        <v>287</v>
      </c>
      <c r="B692" s="9" t="s">
        <v>304</v>
      </c>
      <c r="C692" s="2" t="s">
        <v>804</v>
      </c>
      <c r="D692" s="30" t="s">
        <v>173</v>
      </c>
    </row>
    <row x14ac:dyDescent="0.25" r="693" customHeight="1" ht="18.75">
      <c r="A693" s="2" t="s">
        <v>287</v>
      </c>
      <c r="B693" s="9" t="s">
        <v>612</v>
      </c>
      <c r="C693" s="2" t="s">
        <v>804</v>
      </c>
      <c r="D693" s="30" t="s">
        <v>154</v>
      </c>
    </row>
    <row x14ac:dyDescent="0.25" r="694" customHeight="1" ht="18.75">
      <c r="A694" s="2" t="s">
        <v>287</v>
      </c>
      <c r="B694" s="32" t="s">
        <v>302</v>
      </c>
      <c r="C694" s="2" t="s">
        <v>805</v>
      </c>
      <c r="D694" s="30" t="s">
        <v>806</v>
      </c>
    </row>
    <row x14ac:dyDescent="0.25" r="695" customHeight="1" ht="18.75">
      <c r="A695" s="2" t="s">
        <v>287</v>
      </c>
      <c r="B695" s="9" t="s">
        <v>290</v>
      </c>
      <c r="C695" s="2" t="s">
        <v>807</v>
      </c>
      <c r="D695" s="30" t="s">
        <v>173</v>
      </c>
    </row>
    <row x14ac:dyDescent="0.25" r="696" customHeight="1" ht="18.75">
      <c r="A696" s="2" t="s">
        <v>287</v>
      </c>
      <c r="B696" s="9" t="s">
        <v>309</v>
      </c>
      <c r="C696" s="2" t="s">
        <v>807</v>
      </c>
      <c r="D696" s="30" t="s">
        <v>154</v>
      </c>
    </row>
    <row x14ac:dyDescent="0.25" r="697" customHeight="1" ht="18.75">
      <c r="A697" s="2" t="s">
        <v>287</v>
      </c>
      <c r="B697" s="9" t="s">
        <v>304</v>
      </c>
      <c r="C697" s="2" t="s">
        <v>808</v>
      </c>
      <c r="D697" s="30" t="s">
        <v>173</v>
      </c>
    </row>
    <row x14ac:dyDescent="0.25" r="698" customHeight="1" ht="18.75">
      <c r="A698" s="2" t="s">
        <v>287</v>
      </c>
      <c r="B698" s="9" t="s">
        <v>560</v>
      </c>
      <c r="C698" s="2" t="s">
        <v>808</v>
      </c>
      <c r="D698" s="30" t="s">
        <v>286</v>
      </c>
    </row>
    <row x14ac:dyDescent="0.25" r="699" customHeight="1" ht="18.75">
      <c r="A699" s="2" t="s">
        <v>287</v>
      </c>
      <c r="B699" s="9" t="s">
        <v>304</v>
      </c>
      <c r="C699" s="2" t="s">
        <v>809</v>
      </c>
      <c r="D699" s="30" t="s">
        <v>173</v>
      </c>
    </row>
    <row x14ac:dyDescent="0.25" r="700" customHeight="1" ht="18.75">
      <c r="A700" s="2" t="s">
        <v>287</v>
      </c>
      <c r="B700" s="9" t="s">
        <v>560</v>
      </c>
      <c r="C700" s="2" t="s">
        <v>809</v>
      </c>
      <c r="D700" s="30" t="s">
        <v>286</v>
      </c>
    </row>
    <row x14ac:dyDescent="0.25" r="701" customHeight="1" ht="18.75">
      <c r="A701" s="2" t="s">
        <v>287</v>
      </c>
      <c r="B701" s="9" t="s">
        <v>780</v>
      </c>
      <c r="C701" s="2" t="s">
        <v>810</v>
      </c>
      <c r="D701" s="30" t="s">
        <v>173</v>
      </c>
    </row>
    <row x14ac:dyDescent="0.25" r="702" customHeight="1" ht="18.75">
      <c r="A702" s="2" t="s">
        <v>287</v>
      </c>
      <c r="B702" s="9" t="s">
        <v>402</v>
      </c>
      <c r="C702" s="2" t="s">
        <v>810</v>
      </c>
      <c r="D702" s="30" t="s">
        <v>154</v>
      </c>
    </row>
    <row x14ac:dyDescent="0.25" r="703" customHeight="1" ht="18.75">
      <c r="A703" s="2" t="s">
        <v>287</v>
      </c>
      <c r="B703" s="9" t="s">
        <v>791</v>
      </c>
      <c r="C703" s="2" t="s">
        <v>811</v>
      </c>
      <c r="D703" s="30" t="s">
        <v>154</v>
      </c>
    </row>
    <row x14ac:dyDescent="0.25" r="704" customHeight="1" ht="18.75">
      <c r="A704" s="2" t="s">
        <v>287</v>
      </c>
      <c r="B704" s="3" t="s">
        <v>612</v>
      </c>
      <c r="C704" s="2" t="s">
        <v>811</v>
      </c>
      <c r="D704" s="30" t="s">
        <v>173</v>
      </c>
    </row>
    <row x14ac:dyDescent="0.25" r="705" customHeight="1" ht="18.75">
      <c r="A705" s="2" t="s">
        <v>287</v>
      </c>
      <c r="B705" s="9" t="s">
        <v>304</v>
      </c>
      <c r="C705" s="2" t="s">
        <v>812</v>
      </c>
      <c r="D705" s="30" t="s">
        <v>173</v>
      </c>
    </row>
    <row x14ac:dyDescent="0.25" r="706" customHeight="1" ht="18.75">
      <c r="A706" s="2" t="s">
        <v>287</v>
      </c>
      <c r="B706" s="9" t="s">
        <v>560</v>
      </c>
      <c r="C706" s="2" t="s">
        <v>812</v>
      </c>
      <c r="D706" s="30" t="s">
        <v>227</v>
      </c>
    </row>
    <row x14ac:dyDescent="0.25" r="707" customHeight="1" ht="18.75">
      <c r="A707" s="2" t="s">
        <v>287</v>
      </c>
      <c r="B707" s="3" t="s">
        <v>626</v>
      </c>
      <c r="C707" s="2" t="s">
        <v>812</v>
      </c>
      <c r="D707" s="30" t="s">
        <v>154</v>
      </c>
    </row>
    <row x14ac:dyDescent="0.25" r="708" customHeight="1" ht="18.75">
      <c r="A708" s="2" t="s">
        <v>287</v>
      </c>
      <c r="B708" s="9" t="s">
        <v>309</v>
      </c>
      <c r="C708" s="2" t="s">
        <v>813</v>
      </c>
      <c r="D708" s="30" t="s">
        <v>173</v>
      </c>
    </row>
    <row x14ac:dyDescent="0.25" r="709" customHeight="1" ht="18.75">
      <c r="A709" s="2" t="s">
        <v>287</v>
      </c>
      <c r="B709" s="9" t="s">
        <v>304</v>
      </c>
      <c r="C709" s="2" t="s">
        <v>813</v>
      </c>
      <c r="D709" s="30" t="s">
        <v>154</v>
      </c>
    </row>
    <row x14ac:dyDescent="0.25" r="710" customHeight="1" ht="18.75">
      <c r="A710" s="2" t="s">
        <v>287</v>
      </c>
      <c r="B710" s="3" t="s">
        <v>364</v>
      </c>
      <c r="C710" s="2" t="s">
        <v>813</v>
      </c>
      <c r="D710" s="30" t="s">
        <v>173</v>
      </c>
    </row>
    <row x14ac:dyDescent="0.25" r="711" customHeight="1" ht="18.75">
      <c r="A711" s="2" t="s">
        <v>287</v>
      </c>
      <c r="B711" s="9" t="s">
        <v>304</v>
      </c>
      <c r="C711" s="2" t="s">
        <v>814</v>
      </c>
      <c r="D711" s="30" t="s">
        <v>175</v>
      </c>
    </row>
    <row x14ac:dyDescent="0.25" r="712" customHeight="1" ht="18.75">
      <c r="A712" s="2" t="s">
        <v>287</v>
      </c>
      <c r="B712" s="9" t="s">
        <v>421</v>
      </c>
      <c r="C712" s="2" t="s">
        <v>814</v>
      </c>
      <c r="D712" s="30" t="s">
        <v>173</v>
      </c>
    </row>
    <row x14ac:dyDescent="0.25" r="713" customHeight="1" ht="18.75">
      <c r="A713" s="2" t="s">
        <v>287</v>
      </c>
      <c r="B713" s="9" t="s">
        <v>394</v>
      </c>
      <c r="C713" s="2" t="s">
        <v>815</v>
      </c>
      <c r="D713" s="30" t="s">
        <v>152</v>
      </c>
    </row>
    <row x14ac:dyDescent="0.25" r="714" customHeight="1" ht="18.75">
      <c r="A714" s="2" t="s">
        <v>287</v>
      </c>
      <c r="B714" s="9" t="s">
        <v>612</v>
      </c>
      <c r="C714" s="2" t="s">
        <v>815</v>
      </c>
      <c r="D714" s="30" t="s">
        <v>208</v>
      </c>
    </row>
    <row x14ac:dyDescent="0.25" r="715" customHeight="1" ht="18.75">
      <c r="A715" s="2" t="s">
        <v>287</v>
      </c>
      <c r="B715" s="9" t="s">
        <v>304</v>
      </c>
      <c r="C715" s="2" t="s">
        <v>816</v>
      </c>
      <c r="D715" s="30" t="s">
        <v>173</v>
      </c>
    </row>
    <row x14ac:dyDescent="0.25" r="716" customHeight="1" ht="18.75">
      <c r="A716" s="2" t="s">
        <v>287</v>
      </c>
      <c r="B716" s="9" t="s">
        <v>560</v>
      </c>
      <c r="C716" s="2" t="s">
        <v>816</v>
      </c>
      <c r="D716" s="30" t="s">
        <v>155</v>
      </c>
    </row>
    <row x14ac:dyDescent="0.25" r="717" customHeight="1" ht="18.75">
      <c r="A717" s="2" t="s">
        <v>287</v>
      </c>
      <c r="B717" s="9" t="s">
        <v>304</v>
      </c>
      <c r="C717" s="2" t="s">
        <v>817</v>
      </c>
      <c r="D717" s="30" t="s">
        <v>173</v>
      </c>
    </row>
    <row x14ac:dyDescent="0.25" r="718" customHeight="1" ht="18.75">
      <c r="A718" s="2" t="s">
        <v>287</v>
      </c>
      <c r="B718" s="9" t="s">
        <v>560</v>
      </c>
      <c r="C718" s="2" t="s">
        <v>817</v>
      </c>
      <c r="D718" s="30" t="s">
        <v>286</v>
      </c>
    </row>
    <row x14ac:dyDescent="0.25" r="719" customHeight="1" ht="18.75">
      <c r="A719" s="2" t="s">
        <v>287</v>
      </c>
      <c r="B719" s="9" t="s">
        <v>818</v>
      </c>
      <c r="C719" s="2" t="s">
        <v>819</v>
      </c>
      <c r="D719" s="30" t="s">
        <v>173</v>
      </c>
    </row>
    <row x14ac:dyDescent="0.25" r="720" customHeight="1" ht="18.75">
      <c r="A720" s="2" t="s">
        <v>287</v>
      </c>
      <c r="B720" s="9" t="s">
        <v>346</v>
      </c>
      <c r="C720" s="2" t="s">
        <v>819</v>
      </c>
      <c r="D720" s="30" t="s">
        <v>154</v>
      </c>
    </row>
    <row x14ac:dyDescent="0.25" r="721" customHeight="1" ht="18.75">
      <c r="A721" s="2" t="s">
        <v>287</v>
      </c>
      <c r="B721" s="9" t="s">
        <v>456</v>
      </c>
      <c r="C721" s="2" t="s">
        <v>820</v>
      </c>
      <c r="D721" s="30" t="s">
        <v>154</v>
      </c>
    </row>
    <row x14ac:dyDescent="0.25" r="722" customHeight="1" ht="18.75">
      <c r="A722" s="2" t="s">
        <v>287</v>
      </c>
      <c r="B722" s="3" t="s">
        <v>311</v>
      </c>
      <c r="C722" s="2" t="s">
        <v>820</v>
      </c>
      <c r="D722" s="30" t="s">
        <v>173</v>
      </c>
    </row>
    <row x14ac:dyDescent="0.25" r="723" customHeight="1" ht="18.75">
      <c r="A723" s="2" t="s">
        <v>287</v>
      </c>
      <c r="B723" s="9" t="s">
        <v>311</v>
      </c>
      <c r="C723" s="2" t="s">
        <v>821</v>
      </c>
      <c r="D723" s="30" t="s">
        <v>154</v>
      </c>
    </row>
    <row x14ac:dyDescent="0.25" r="724" customHeight="1" ht="18.75">
      <c r="A724" s="2" t="s">
        <v>287</v>
      </c>
      <c r="B724" s="32" t="s">
        <v>791</v>
      </c>
      <c r="C724" s="2" t="s">
        <v>822</v>
      </c>
      <c r="D724" s="30" t="s">
        <v>806</v>
      </c>
    </row>
    <row x14ac:dyDescent="0.25" r="725" customHeight="1" ht="18.75">
      <c r="A725" s="2" t="s">
        <v>287</v>
      </c>
      <c r="B725" s="9" t="s">
        <v>304</v>
      </c>
      <c r="C725" s="2" t="s">
        <v>823</v>
      </c>
      <c r="D725" s="30" t="s">
        <v>173</v>
      </c>
    </row>
    <row x14ac:dyDescent="0.25" r="726" customHeight="1" ht="18.75">
      <c r="A726" s="2" t="s">
        <v>287</v>
      </c>
      <c r="B726" s="9" t="s">
        <v>560</v>
      </c>
      <c r="C726" s="2" t="s">
        <v>823</v>
      </c>
      <c r="D726" s="30" t="s">
        <v>227</v>
      </c>
    </row>
    <row x14ac:dyDescent="0.25" r="727" customHeight="1" ht="18.75">
      <c r="A727" s="2" t="s">
        <v>287</v>
      </c>
      <c r="B727" s="3" t="s">
        <v>824</v>
      </c>
      <c r="C727" s="2" t="s">
        <v>823</v>
      </c>
      <c r="D727" s="30" t="s">
        <v>154</v>
      </c>
    </row>
    <row x14ac:dyDescent="0.25" r="728" customHeight="1" ht="18.75">
      <c r="A728" s="2" t="s">
        <v>287</v>
      </c>
      <c r="B728" s="9" t="s">
        <v>311</v>
      </c>
      <c r="C728" s="2" t="s">
        <v>825</v>
      </c>
      <c r="D728" s="30" t="s">
        <v>227</v>
      </c>
    </row>
    <row x14ac:dyDescent="0.25" r="729" customHeight="1" ht="18.75">
      <c r="A729" s="2" t="s">
        <v>287</v>
      </c>
      <c r="B729" s="3" t="s">
        <v>309</v>
      </c>
      <c r="C729" s="2" t="s">
        <v>825</v>
      </c>
      <c r="D729" s="30" t="s">
        <v>154</v>
      </c>
    </row>
    <row x14ac:dyDescent="0.25" r="730" customHeight="1" ht="18.75">
      <c r="A730" s="2" t="s">
        <v>287</v>
      </c>
      <c r="B730" s="9" t="s">
        <v>304</v>
      </c>
      <c r="C730" s="2" t="s">
        <v>826</v>
      </c>
      <c r="D730" s="30" t="s">
        <v>227</v>
      </c>
    </row>
    <row x14ac:dyDescent="0.25" r="731" customHeight="1" ht="18.75">
      <c r="A731" s="2" t="s">
        <v>287</v>
      </c>
      <c r="B731" s="9" t="s">
        <v>421</v>
      </c>
      <c r="C731" s="2" t="s">
        <v>826</v>
      </c>
      <c r="D731" s="30" t="s">
        <v>154</v>
      </c>
    </row>
    <row x14ac:dyDescent="0.25" r="732" customHeight="1" ht="18.75">
      <c r="A732" s="2" t="s">
        <v>287</v>
      </c>
      <c r="B732" s="9" t="s">
        <v>329</v>
      </c>
      <c r="C732" s="2" t="s">
        <v>827</v>
      </c>
      <c r="D732" s="30" t="s">
        <v>173</v>
      </c>
    </row>
    <row x14ac:dyDescent="0.25" r="733" customHeight="1" ht="18.75">
      <c r="A733" s="2" t="s">
        <v>287</v>
      </c>
      <c r="B733" s="9" t="s">
        <v>402</v>
      </c>
      <c r="C733" s="2" t="s">
        <v>827</v>
      </c>
      <c r="D733" s="30" t="s">
        <v>154</v>
      </c>
    </row>
    <row x14ac:dyDescent="0.25" r="734" customHeight="1" ht="18.75">
      <c r="A734" s="2" t="s">
        <v>287</v>
      </c>
      <c r="B734" s="9" t="s">
        <v>791</v>
      </c>
      <c r="C734" s="2" t="s">
        <v>828</v>
      </c>
      <c r="D734" s="30" t="s">
        <v>154</v>
      </c>
    </row>
    <row x14ac:dyDescent="0.25" r="735" customHeight="1" ht="18.75">
      <c r="A735" s="2" t="s">
        <v>287</v>
      </c>
      <c r="B735" s="3" t="s">
        <v>612</v>
      </c>
      <c r="C735" s="2" t="s">
        <v>828</v>
      </c>
      <c r="D735" s="30" t="s">
        <v>173</v>
      </c>
    </row>
    <row x14ac:dyDescent="0.25" r="736" customHeight="1" ht="18.75">
      <c r="A736" s="2" t="s">
        <v>287</v>
      </c>
      <c r="B736" s="9" t="s">
        <v>331</v>
      </c>
      <c r="C736" s="2" t="s">
        <v>829</v>
      </c>
      <c r="D736" s="30" t="s">
        <v>173</v>
      </c>
    </row>
    <row x14ac:dyDescent="0.25" r="737" customHeight="1" ht="18.75">
      <c r="A737" s="2" t="s">
        <v>287</v>
      </c>
      <c r="B737" s="9" t="s">
        <v>612</v>
      </c>
      <c r="C737" s="2" t="s">
        <v>829</v>
      </c>
      <c r="D737" s="30" t="s">
        <v>154</v>
      </c>
    </row>
    <row x14ac:dyDescent="0.25" r="738" customHeight="1" ht="18.75">
      <c r="A738" s="2" t="s">
        <v>287</v>
      </c>
      <c r="B738" s="9" t="s">
        <v>304</v>
      </c>
      <c r="C738" s="2" t="s">
        <v>830</v>
      </c>
      <c r="D738" s="30" t="s">
        <v>173</v>
      </c>
    </row>
    <row x14ac:dyDescent="0.25" r="739" customHeight="1" ht="18.75">
      <c r="A739" s="2" t="s">
        <v>287</v>
      </c>
      <c r="B739" s="9" t="s">
        <v>560</v>
      </c>
      <c r="C739" s="2" t="s">
        <v>830</v>
      </c>
      <c r="D739" s="30" t="s">
        <v>154</v>
      </c>
    </row>
    <row x14ac:dyDescent="0.25" r="740" customHeight="1" ht="18.75">
      <c r="A740" s="2" t="s">
        <v>287</v>
      </c>
      <c r="B740" s="3" t="s">
        <v>799</v>
      </c>
      <c r="C740" s="2" t="s">
        <v>830</v>
      </c>
      <c r="D740" s="30" t="s">
        <v>173</v>
      </c>
    </row>
    <row x14ac:dyDescent="0.25" r="741" customHeight="1" ht="18.75">
      <c r="A741" s="2" t="s">
        <v>287</v>
      </c>
      <c r="B741" s="9" t="s">
        <v>612</v>
      </c>
      <c r="C741" s="2" t="s">
        <v>831</v>
      </c>
      <c r="D741" s="30" t="s">
        <v>227</v>
      </c>
    </row>
    <row x14ac:dyDescent="0.25" r="742" customHeight="1" ht="18.75">
      <c r="A742" s="2" t="s">
        <v>287</v>
      </c>
      <c r="B742" s="9" t="s">
        <v>398</v>
      </c>
      <c r="C742" s="2" t="s">
        <v>831</v>
      </c>
      <c r="D742" s="30" t="s">
        <v>154</v>
      </c>
    </row>
    <row x14ac:dyDescent="0.25" r="743" customHeight="1" ht="18.75">
      <c r="A743" s="2" t="s">
        <v>287</v>
      </c>
      <c r="B743" s="9" t="s">
        <v>612</v>
      </c>
      <c r="C743" s="2" t="s">
        <v>832</v>
      </c>
      <c r="D743" s="30" t="s">
        <v>227</v>
      </c>
    </row>
    <row x14ac:dyDescent="0.25" r="744" customHeight="1" ht="18.75">
      <c r="A744" s="2" t="s">
        <v>287</v>
      </c>
      <c r="B744" s="9" t="s">
        <v>398</v>
      </c>
      <c r="C744" s="2" t="s">
        <v>832</v>
      </c>
      <c r="D744" s="30" t="s">
        <v>154</v>
      </c>
    </row>
    <row x14ac:dyDescent="0.25" r="745" customHeight="1" ht="18.75">
      <c r="A745" s="2" t="s">
        <v>287</v>
      </c>
      <c r="B745" s="9" t="s">
        <v>560</v>
      </c>
      <c r="C745" s="2" t="s">
        <v>833</v>
      </c>
      <c r="D745" s="30" t="s">
        <v>227</v>
      </c>
    </row>
    <row x14ac:dyDescent="0.25" r="746" customHeight="1" ht="18.75">
      <c r="A746" s="2" t="s">
        <v>287</v>
      </c>
      <c r="B746" s="9" t="s">
        <v>364</v>
      </c>
      <c r="C746" s="2" t="s">
        <v>833</v>
      </c>
      <c r="D746" s="30" t="s">
        <v>154</v>
      </c>
    </row>
    <row x14ac:dyDescent="0.25" r="747" customHeight="1" ht="18.75">
      <c r="A747" s="2" t="s">
        <v>287</v>
      </c>
      <c r="B747" s="9" t="s">
        <v>304</v>
      </c>
      <c r="C747" s="2" t="s">
        <v>834</v>
      </c>
      <c r="D747" s="30" t="s">
        <v>173</v>
      </c>
    </row>
    <row x14ac:dyDescent="0.25" r="748" customHeight="1" ht="18.75">
      <c r="A748" s="2" t="s">
        <v>287</v>
      </c>
      <c r="B748" s="9" t="s">
        <v>560</v>
      </c>
      <c r="C748" s="2" t="s">
        <v>834</v>
      </c>
      <c r="D748" s="30" t="s">
        <v>286</v>
      </c>
    </row>
    <row x14ac:dyDescent="0.25" r="749" customHeight="1" ht="18.75">
      <c r="A749" s="2" t="s">
        <v>287</v>
      </c>
      <c r="B749" s="9" t="s">
        <v>315</v>
      </c>
      <c r="C749" s="2" t="s">
        <v>835</v>
      </c>
      <c r="D749" s="30" t="s">
        <v>227</v>
      </c>
    </row>
    <row x14ac:dyDescent="0.25" r="750" customHeight="1" ht="18.75">
      <c r="A750" s="2" t="s">
        <v>287</v>
      </c>
      <c r="B750" s="9" t="s">
        <v>836</v>
      </c>
      <c r="C750" s="2" t="s">
        <v>835</v>
      </c>
      <c r="D750" s="30" t="s">
        <v>154</v>
      </c>
    </row>
    <row x14ac:dyDescent="0.25" r="751" customHeight="1" ht="18.75">
      <c r="A751" s="2" t="s">
        <v>287</v>
      </c>
      <c r="B751" s="9" t="s">
        <v>304</v>
      </c>
      <c r="C751" s="2" t="s">
        <v>837</v>
      </c>
      <c r="D751" s="30" t="s">
        <v>173</v>
      </c>
    </row>
    <row x14ac:dyDescent="0.25" r="752" customHeight="1" ht="18.75">
      <c r="A752" s="2" t="s">
        <v>287</v>
      </c>
      <c r="B752" s="9" t="s">
        <v>612</v>
      </c>
      <c r="C752" s="2" t="s">
        <v>837</v>
      </c>
      <c r="D752" s="30" t="s">
        <v>154</v>
      </c>
    </row>
    <row x14ac:dyDescent="0.25" r="753" customHeight="1" ht="18.75">
      <c r="A753" s="2" t="s">
        <v>287</v>
      </c>
      <c r="B753" s="9" t="s">
        <v>404</v>
      </c>
      <c r="C753" s="2" t="s">
        <v>838</v>
      </c>
      <c r="D753" s="30" t="s">
        <v>173</v>
      </c>
    </row>
    <row x14ac:dyDescent="0.25" r="754" customHeight="1" ht="18.75">
      <c r="A754" s="2" t="s">
        <v>287</v>
      </c>
      <c r="B754" s="9" t="s">
        <v>304</v>
      </c>
      <c r="C754" s="2" t="s">
        <v>838</v>
      </c>
      <c r="D754" s="30" t="s">
        <v>286</v>
      </c>
    </row>
    <row x14ac:dyDescent="0.25" r="755" customHeight="1" ht="18.75">
      <c r="A755" s="2" t="s">
        <v>287</v>
      </c>
      <c r="B755" s="9" t="s">
        <v>421</v>
      </c>
      <c r="C755" s="2" t="s">
        <v>838</v>
      </c>
      <c r="D755" s="30" t="s">
        <v>173</v>
      </c>
    </row>
    <row x14ac:dyDescent="0.25" r="756" customHeight="1" ht="18.75">
      <c r="A756" s="2" t="s">
        <v>287</v>
      </c>
      <c r="B756" s="9" t="s">
        <v>318</v>
      </c>
      <c r="C756" s="2" t="s">
        <v>839</v>
      </c>
      <c r="D756" s="30" t="s">
        <v>175</v>
      </c>
    </row>
    <row x14ac:dyDescent="0.25" r="757" customHeight="1" ht="18.75">
      <c r="A757" s="2" t="s">
        <v>287</v>
      </c>
      <c r="B757" s="9" t="s">
        <v>413</v>
      </c>
      <c r="C757" s="2" t="s">
        <v>839</v>
      </c>
      <c r="D757" s="30" t="s">
        <v>173</v>
      </c>
    </row>
    <row x14ac:dyDescent="0.25" r="758" customHeight="1" ht="18.75">
      <c r="A758" s="2" t="s">
        <v>287</v>
      </c>
      <c r="B758" s="9" t="s">
        <v>402</v>
      </c>
      <c r="C758" s="2" t="s">
        <v>840</v>
      </c>
      <c r="D758" s="30" t="s">
        <v>227</v>
      </c>
    </row>
    <row x14ac:dyDescent="0.25" r="759" customHeight="1" ht="18.75">
      <c r="A759" s="2" t="s">
        <v>287</v>
      </c>
      <c r="B759" s="3" t="s">
        <v>302</v>
      </c>
      <c r="C759" s="2" t="s">
        <v>840</v>
      </c>
      <c r="D759" s="30" t="s">
        <v>154</v>
      </c>
    </row>
    <row x14ac:dyDescent="0.25" r="760" customHeight="1" ht="18.75">
      <c r="A760" s="2" t="s">
        <v>287</v>
      </c>
      <c r="B760" s="9" t="s">
        <v>404</v>
      </c>
      <c r="C760" s="2" t="s">
        <v>841</v>
      </c>
      <c r="D760" s="30" t="s">
        <v>173</v>
      </c>
    </row>
    <row x14ac:dyDescent="0.25" r="761" customHeight="1" ht="18.75">
      <c r="A761" s="2" t="s">
        <v>287</v>
      </c>
      <c r="B761" s="9" t="s">
        <v>402</v>
      </c>
      <c r="C761" s="2" t="s">
        <v>842</v>
      </c>
      <c r="D761" s="30" t="s">
        <v>173</v>
      </c>
    </row>
    <row x14ac:dyDescent="0.25" r="762" customHeight="1" ht="18.75">
      <c r="A762" s="2" t="s">
        <v>287</v>
      </c>
      <c r="B762" s="9" t="s">
        <v>318</v>
      </c>
      <c r="C762" s="2" t="s">
        <v>842</v>
      </c>
      <c r="D762" s="30" t="s">
        <v>154</v>
      </c>
    </row>
    <row x14ac:dyDescent="0.25" r="763" customHeight="1" ht="18.75">
      <c r="A763" s="2" t="s">
        <v>287</v>
      </c>
      <c r="B763" s="9" t="s">
        <v>364</v>
      </c>
      <c r="C763" s="2" t="s">
        <v>843</v>
      </c>
      <c r="D763" s="30" t="s">
        <v>173</v>
      </c>
    </row>
    <row x14ac:dyDescent="0.25" r="764" customHeight="1" ht="18.75">
      <c r="A764" s="2" t="s">
        <v>287</v>
      </c>
      <c r="B764" s="9" t="s">
        <v>560</v>
      </c>
      <c r="C764" s="2" t="s">
        <v>843</v>
      </c>
      <c r="D764" s="30" t="s">
        <v>154</v>
      </c>
    </row>
    <row x14ac:dyDescent="0.25" r="765" customHeight="1" ht="18.75">
      <c r="A765" s="2" t="s">
        <v>287</v>
      </c>
      <c r="B765" s="3" t="s">
        <v>799</v>
      </c>
      <c r="C765" s="2" t="s">
        <v>843</v>
      </c>
      <c r="D765" s="30" t="s">
        <v>173</v>
      </c>
    </row>
    <row x14ac:dyDescent="0.25" r="766" customHeight="1" ht="18.75">
      <c r="A766" s="2" t="s">
        <v>287</v>
      </c>
      <c r="B766" s="9" t="s">
        <v>394</v>
      </c>
      <c r="C766" s="2" t="s">
        <v>844</v>
      </c>
      <c r="D766" s="30" t="s">
        <v>175</v>
      </c>
    </row>
    <row x14ac:dyDescent="0.25" r="767" customHeight="1" ht="18.75">
      <c r="A767" s="2" t="s">
        <v>287</v>
      </c>
      <c r="B767" s="3" t="s">
        <v>612</v>
      </c>
      <c r="C767" s="2" t="s">
        <v>844</v>
      </c>
      <c r="D767" s="30" t="s">
        <v>173</v>
      </c>
    </row>
    <row x14ac:dyDescent="0.25" r="768" customHeight="1" ht="18.75">
      <c r="A768" s="2" t="s">
        <v>287</v>
      </c>
      <c r="B768" s="32" t="s">
        <v>343</v>
      </c>
      <c r="C768" s="33" t="s">
        <v>845</v>
      </c>
      <c r="D768" s="30" t="s">
        <v>806</v>
      </c>
    </row>
    <row x14ac:dyDescent="0.25" r="769" customHeight="1" ht="18.75">
      <c r="A769" s="2" t="s">
        <v>287</v>
      </c>
      <c r="B769" s="9" t="s">
        <v>366</v>
      </c>
      <c r="C769" s="2" t="s">
        <v>846</v>
      </c>
      <c r="D769" s="30" t="s">
        <v>173</v>
      </c>
    </row>
    <row x14ac:dyDescent="0.25" r="770" customHeight="1" ht="18.75">
      <c r="A770" s="2" t="s">
        <v>287</v>
      </c>
      <c r="B770" s="9" t="s">
        <v>304</v>
      </c>
      <c r="C770" s="2" t="s">
        <v>846</v>
      </c>
      <c r="D770" s="30" t="s">
        <v>227</v>
      </c>
    </row>
    <row x14ac:dyDescent="0.25" r="771" customHeight="1" ht="18.75">
      <c r="A771" s="2" t="s">
        <v>287</v>
      </c>
      <c r="B771" s="9" t="s">
        <v>560</v>
      </c>
      <c r="C771" s="2" t="s">
        <v>846</v>
      </c>
      <c r="D771" s="30" t="s">
        <v>173</v>
      </c>
    </row>
    <row x14ac:dyDescent="0.25" r="772" customHeight="1" ht="18.75">
      <c r="A772" s="2" t="s">
        <v>287</v>
      </c>
      <c r="B772" s="3" t="s">
        <v>626</v>
      </c>
      <c r="C772" s="2" t="s">
        <v>846</v>
      </c>
      <c r="D772" s="30" t="s">
        <v>154</v>
      </c>
    </row>
    <row x14ac:dyDescent="0.25" r="773" customHeight="1" ht="18.75">
      <c r="A773" s="2" t="s">
        <v>287</v>
      </c>
      <c r="B773" s="9" t="s">
        <v>304</v>
      </c>
      <c r="C773" s="2" t="s">
        <v>847</v>
      </c>
      <c r="D773" s="30" t="s">
        <v>208</v>
      </c>
    </row>
    <row x14ac:dyDescent="0.25" r="774" customHeight="1" ht="18.75">
      <c r="A774" s="2" t="s">
        <v>287</v>
      </c>
      <c r="B774" s="9" t="s">
        <v>402</v>
      </c>
      <c r="C774" s="2" t="s">
        <v>847</v>
      </c>
      <c r="D774" s="30" t="s">
        <v>173</v>
      </c>
    </row>
    <row x14ac:dyDescent="0.25" r="775" customHeight="1" ht="18.75">
      <c r="A775" s="2" t="s">
        <v>287</v>
      </c>
      <c r="B775" s="9" t="s">
        <v>331</v>
      </c>
      <c r="C775" s="2" t="s">
        <v>848</v>
      </c>
      <c r="D775" s="30" t="s">
        <v>173</v>
      </c>
    </row>
    <row x14ac:dyDescent="0.25" r="776" customHeight="1" ht="18.75">
      <c r="A776" s="2" t="s">
        <v>287</v>
      </c>
      <c r="B776" s="9" t="s">
        <v>318</v>
      </c>
      <c r="C776" s="2" t="s">
        <v>848</v>
      </c>
      <c r="D776" s="30" t="s">
        <v>154</v>
      </c>
    </row>
    <row x14ac:dyDescent="0.25" r="777" customHeight="1" ht="18.75">
      <c r="A777" s="2" t="s">
        <v>287</v>
      </c>
      <c r="B777" s="9" t="s">
        <v>404</v>
      </c>
      <c r="C777" s="2" t="s">
        <v>87</v>
      </c>
      <c r="D777" s="30" t="s">
        <v>173</v>
      </c>
    </row>
    <row x14ac:dyDescent="0.25" r="778" customHeight="1" ht="18.75">
      <c r="A778" s="2" t="s">
        <v>287</v>
      </c>
      <c r="B778" s="9" t="s">
        <v>404</v>
      </c>
      <c r="C778" s="2" t="s">
        <v>849</v>
      </c>
      <c r="D778" s="30" t="s">
        <v>173</v>
      </c>
    </row>
    <row x14ac:dyDescent="0.25" r="779" customHeight="1" ht="18.75">
      <c r="A779" s="2" t="s">
        <v>287</v>
      </c>
      <c r="B779" s="9" t="s">
        <v>612</v>
      </c>
      <c r="C779" s="2" t="s">
        <v>849</v>
      </c>
      <c r="D779" s="30" t="s">
        <v>227</v>
      </c>
    </row>
    <row x14ac:dyDescent="0.25" r="780" customHeight="1" ht="18.75">
      <c r="A780" s="2" t="s">
        <v>287</v>
      </c>
      <c r="B780" s="3" t="s">
        <v>315</v>
      </c>
      <c r="C780" s="2" t="s">
        <v>849</v>
      </c>
      <c r="D780" s="30" t="s">
        <v>154</v>
      </c>
    </row>
    <row x14ac:dyDescent="0.25" r="781" customHeight="1" ht="18.75">
      <c r="A781" s="2" t="s">
        <v>287</v>
      </c>
      <c r="B781" s="9" t="s">
        <v>404</v>
      </c>
      <c r="C781" s="2" t="s">
        <v>71</v>
      </c>
      <c r="D781" s="30" t="s">
        <v>173</v>
      </c>
    </row>
    <row x14ac:dyDescent="0.25" r="782" customHeight="1" ht="18.75">
      <c r="A782" s="2" t="s">
        <v>287</v>
      </c>
      <c r="B782" s="9" t="s">
        <v>404</v>
      </c>
      <c r="C782" s="2" t="s">
        <v>850</v>
      </c>
      <c r="D782" s="30" t="s">
        <v>154</v>
      </c>
    </row>
    <row x14ac:dyDescent="0.25" r="783" customHeight="1" ht="18.75">
      <c r="A783" s="2" t="s">
        <v>287</v>
      </c>
      <c r="B783" s="3" t="s">
        <v>366</v>
      </c>
      <c r="C783" s="2" t="s">
        <v>850</v>
      </c>
      <c r="D783" s="30" t="s">
        <v>173</v>
      </c>
    </row>
    <row x14ac:dyDescent="0.25" r="784" customHeight="1" ht="18.75">
      <c r="A784" s="2" t="s">
        <v>287</v>
      </c>
      <c r="B784" s="9" t="s">
        <v>318</v>
      </c>
      <c r="C784" s="2" t="s">
        <v>851</v>
      </c>
      <c r="D784" s="30" t="s">
        <v>154</v>
      </c>
    </row>
    <row x14ac:dyDescent="0.25" r="785" customHeight="1" ht="18.75">
      <c r="A785" s="2" t="s">
        <v>287</v>
      </c>
      <c r="B785" s="3" t="s">
        <v>612</v>
      </c>
      <c r="C785" s="2" t="s">
        <v>851</v>
      </c>
      <c r="D785" s="30" t="s">
        <v>173</v>
      </c>
    </row>
    <row x14ac:dyDescent="0.25" r="786" customHeight="1" ht="18.75">
      <c r="A786" s="2" t="s">
        <v>287</v>
      </c>
      <c r="B786" s="9" t="s">
        <v>404</v>
      </c>
      <c r="C786" s="2" t="s">
        <v>852</v>
      </c>
      <c r="D786" s="30" t="s">
        <v>173</v>
      </c>
    </row>
    <row x14ac:dyDescent="0.25" r="787" customHeight="1" ht="18.75">
      <c r="A787" s="2" t="s">
        <v>287</v>
      </c>
      <c r="B787" s="9" t="s">
        <v>404</v>
      </c>
      <c r="C787" s="2" t="s">
        <v>853</v>
      </c>
      <c r="D787" s="30" t="s">
        <v>173</v>
      </c>
    </row>
    <row x14ac:dyDescent="0.25" r="788" customHeight="1" ht="18.75">
      <c r="A788" s="2" t="s">
        <v>287</v>
      </c>
      <c r="B788" s="9" t="s">
        <v>296</v>
      </c>
      <c r="C788" s="2" t="s">
        <v>853</v>
      </c>
      <c r="D788" s="30" t="s">
        <v>154</v>
      </c>
    </row>
    <row x14ac:dyDescent="0.25" r="789" customHeight="1" ht="18.75">
      <c r="A789" s="2" t="s">
        <v>287</v>
      </c>
      <c r="B789" s="9" t="s">
        <v>398</v>
      </c>
      <c r="C789" s="2" t="s">
        <v>854</v>
      </c>
      <c r="D789" s="30" t="s">
        <v>173</v>
      </c>
    </row>
    <row x14ac:dyDescent="0.25" r="790" customHeight="1" ht="18.75">
      <c r="A790" s="2" t="s">
        <v>287</v>
      </c>
      <c r="B790" s="9" t="s">
        <v>560</v>
      </c>
      <c r="C790" s="2" t="s">
        <v>854</v>
      </c>
      <c r="D790" s="30" t="s">
        <v>154</v>
      </c>
    </row>
    <row x14ac:dyDescent="0.25" r="791" customHeight="1" ht="18.75">
      <c r="A791" s="2" t="s">
        <v>287</v>
      </c>
      <c r="B791" s="3" t="s">
        <v>799</v>
      </c>
      <c r="C791" s="2" t="s">
        <v>854</v>
      </c>
      <c r="D791" s="30" t="s">
        <v>173</v>
      </c>
    </row>
    <row x14ac:dyDescent="0.25" r="792" customHeight="1" ht="18.75">
      <c r="A792" s="2" t="s">
        <v>287</v>
      </c>
      <c r="B792" s="35" t="s">
        <v>404</v>
      </c>
      <c r="C792" s="2" t="s">
        <v>855</v>
      </c>
      <c r="D792" s="30" t="s">
        <v>222</v>
      </c>
    </row>
    <row x14ac:dyDescent="0.25" r="793" customHeight="1" ht="18.75">
      <c r="A793" s="2" t="s">
        <v>287</v>
      </c>
      <c r="B793" s="35" t="s">
        <v>315</v>
      </c>
      <c r="C793" s="2" t="s">
        <v>855</v>
      </c>
      <c r="D793" s="30" t="s">
        <v>173</v>
      </c>
    </row>
    <row x14ac:dyDescent="0.25" r="794" customHeight="1" ht="18.75">
      <c r="A794" s="2" t="s">
        <v>287</v>
      </c>
      <c r="B794" s="3" t="s">
        <v>836</v>
      </c>
      <c r="C794" s="2" t="s">
        <v>855</v>
      </c>
      <c r="D794" s="30" t="s">
        <v>222</v>
      </c>
    </row>
    <row x14ac:dyDescent="0.25" r="795" customHeight="1" ht="18.75">
      <c r="A795" s="2" t="s">
        <v>287</v>
      </c>
      <c r="B795" s="9" t="s">
        <v>404</v>
      </c>
      <c r="C795" s="2" t="s">
        <v>856</v>
      </c>
      <c r="D795" s="30" t="s">
        <v>227</v>
      </c>
    </row>
    <row x14ac:dyDescent="0.25" r="796" customHeight="1" ht="18.75">
      <c r="A796" s="2" t="s">
        <v>287</v>
      </c>
      <c r="B796" s="9" t="s">
        <v>294</v>
      </c>
      <c r="C796" s="2" t="s">
        <v>856</v>
      </c>
      <c r="D796" s="30" t="s">
        <v>154</v>
      </c>
    </row>
    <row x14ac:dyDescent="0.25" r="797" customHeight="1" ht="18.75">
      <c r="A797" s="2" t="s">
        <v>287</v>
      </c>
      <c r="B797" s="9" t="s">
        <v>612</v>
      </c>
      <c r="C797" s="2" t="s">
        <v>857</v>
      </c>
      <c r="D797" s="30" t="s">
        <v>227</v>
      </c>
    </row>
    <row x14ac:dyDescent="0.25" r="798" customHeight="1" ht="18.75">
      <c r="A798" s="2" t="s">
        <v>287</v>
      </c>
      <c r="B798" s="9" t="s">
        <v>398</v>
      </c>
      <c r="C798" s="2" t="s">
        <v>857</v>
      </c>
      <c r="D798" s="30" t="s">
        <v>154</v>
      </c>
    </row>
    <row x14ac:dyDescent="0.25" r="799" customHeight="1" ht="18.75">
      <c r="A799" s="2" t="s">
        <v>287</v>
      </c>
      <c r="B799" s="32" t="s">
        <v>413</v>
      </c>
      <c r="C799" s="33" t="s">
        <v>858</v>
      </c>
      <c r="D799" s="30" t="s">
        <v>806</v>
      </c>
    </row>
    <row x14ac:dyDescent="0.25" r="800" customHeight="1" ht="18.75">
      <c r="A800" s="2" t="s">
        <v>287</v>
      </c>
      <c r="B800" s="9" t="s">
        <v>409</v>
      </c>
      <c r="C800" s="2" t="s">
        <v>859</v>
      </c>
      <c r="D800" s="30" t="s">
        <v>173</v>
      </c>
    </row>
    <row x14ac:dyDescent="0.25" r="801" customHeight="1" ht="18.75">
      <c r="A801" s="2" t="s">
        <v>287</v>
      </c>
      <c r="B801" s="9" t="s">
        <v>318</v>
      </c>
      <c r="C801" s="2" t="s">
        <v>859</v>
      </c>
      <c r="D801" s="30" t="s">
        <v>175</v>
      </c>
    </row>
    <row x14ac:dyDescent="0.25" r="802" customHeight="1" ht="18.75">
      <c r="A802" s="2" t="s">
        <v>287</v>
      </c>
      <c r="B802" s="9" t="s">
        <v>700</v>
      </c>
      <c r="C802" s="2" t="s">
        <v>860</v>
      </c>
      <c r="D802" s="30" t="s">
        <v>173</v>
      </c>
    </row>
    <row x14ac:dyDescent="0.25" r="803" customHeight="1" ht="18.75">
      <c r="A803" s="2" t="s">
        <v>287</v>
      </c>
      <c r="B803" s="9" t="s">
        <v>296</v>
      </c>
      <c r="C803" s="2" t="s">
        <v>860</v>
      </c>
      <c r="D803" s="30" t="s">
        <v>154</v>
      </c>
    </row>
    <row x14ac:dyDescent="0.25" r="804" customHeight="1" ht="18.75">
      <c r="A804" s="2" t="s">
        <v>287</v>
      </c>
      <c r="B804" s="9" t="s">
        <v>612</v>
      </c>
      <c r="C804" s="2" t="s">
        <v>861</v>
      </c>
      <c r="D804" s="30" t="s">
        <v>227</v>
      </c>
    </row>
    <row x14ac:dyDescent="0.25" r="805" customHeight="1" ht="18.75">
      <c r="A805" s="2" t="s">
        <v>287</v>
      </c>
      <c r="B805" s="9" t="s">
        <v>315</v>
      </c>
      <c r="C805" s="2" t="s">
        <v>861</v>
      </c>
      <c r="D805" s="30" t="s">
        <v>154</v>
      </c>
    </row>
    <row x14ac:dyDescent="0.25" r="806" customHeight="1" ht="18.75">
      <c r="A806" s="2" t="s">
        <v>287</v>
      </c>
      <c r="B806" s="9" t="s">
        <v>302</v>
      </c>
      <c r="C806" s="2" t="s">
        <v>862</v>
      </c>
      <c r="D806" s="30" t="s">
        <v>173</v>
      </c>
    </row>
    <row x14ac:dyDescent="0.25" r="807" customHeight="1" ht="18.75">
      <c r="A807" s="2" t="s">
        <v>287</v>
      </c>
      <c r="B807" s="9" t="s">
        <v>413</v>
      </c>
      <c r="C807" s="2" t="s">
        <v>862</v>
      </c>
      <c r="D807" s="30" t="s">
        <v>154</v>
      </c>
    </row>
    <row x14ac:dyDescent="0.25" r="808" customHeight="1" ht="18.75">
      <c r="A808" s="2" t="s">
        <v>287</v>
      </c>
      <c r="B808" s="9" t="s">
        <v>302</v>
      </c>
      <c r="C808" s="2" t="s">
        <v>863</v>
      </c>
      <c r="D808" s="30" t="s">
        <v>173</v>
      </c>
    </row>
    <row x14ac:dyDescent="0.25" r="809" customHeight="1" ht="18.75">
      <c r="A809" s="2" t="s">
        <v>287</v>
      </c>
      <c r="B809" s="9" t="s">
        <v>309</v>
      </c>
      <c r="C809" s="2" t="s">
        <v>863</v>
      </c>
      <c r="D809" s="30" t="s">
        <v>154</v>
      </c>
    </row>
    <row x14ac:dyDescent="0.25" r="810" customHeight="1" ht="18.75">
      <c r="A810" s="2" t="s">
        <v>287</v>
      </c>
      <c r="B810" s="9" t="s">
        <v>304</v>
      </c>
      <c r="C810" s="2" t="s">
        <v>864</v>
      </c>
      <c r="D810" s="30" t="s">
        <v>173</v>
      </c>
    </row>
    <row x14ac:dyDescent="0.25" r="811" customHeight="1" ht="18.75">
      <c r="A811" s="2" t="s">
        <v>287</v>
      </c>
      <c r="B811" s="9" t="s">
        <v>560</v>
      </c>
      <c r="C811" s="2" t="s">
        <v>864</v>
      </c>
      <c r="D811" s="30" t="s">
        <v>154</v>
      </c>
    </row>
    <row x14ac:dyDescent="0.25" r="812" customHeight="1" ht="18.75">
      <c r="A812" s="2" t="s">
        <v>287</v>
      </c>
      <c r="B812" s="3" t="s">
        <v>799</v>
      </c>
      <c r="C812" s="2" t="s">
        <v>864</v>
      </c>
      <c r="D812" s="30" t="s">
        <v>173</v>
      </c>
    </row>
    <row x14ac:dyDescent="0.25" r="813" customHeight="1" ht="18.75">
      <c r="A813" s="2" t="s">
        <v>287</v>
      </c>
      <c r="B813" s="9" t="s">
        <v>304</v>
      </c>
      <c r="C813" s="2" t="s">
        <v>865</v>
      </c>
      <c r="D813" s="30" t="s">
        <v>173</v>
      </c>
    </row>
    <row x14ac:dyDescent="0.25" r="814" customHeight="1" ht="18.75">
      <c r="A814" s="2" t="s">
        <v>287</v>
      </c>
      <c r="B814" s="9" t="s">
        <v>560</v>
      </c>
      <c r="C814" s="2" t="s">
        <v>865</v>
      </c>
      <c r="D814" s="30" t="s">
        <v>227</v>
      </c>
    </row>
    <row x14ac:dyDescent="0.25" r="815" customHeight="1" ht="18.75">
      <c r="A815" s="2" t="s">
        <v>287</v>
      </c>
      <c r="B815" s="3" t="s">
        <v>626</v>
      </c>
      <c r="C815" s="2" t="s">
        <v>865</v>
      </c>
      <c r="D815" s="30" t="s">
        <v>154</v>
      </c>
    </row>
    <row x14ac:dyDescent="0.25" r="816" customHeight="1" ht="18.75">
      <c r="A816" s="2" t="s">
        <v>287</v>
      </c>
      <c r="B816" s="9" t="s">
        <v>364</v>
      </c>
      <c r="C816" s="2" t="s">
        <v>866</v>
      </c>
      <c r="D816" s="30" t="s">
        <v>173</v>
      </c>
    </row>
    <row x14ac:dyDescent="0.25" r="817" customHeight="1" ht="18.75">
      <c r="A817" s="2" t="s">
        <v>287</v>
      </c>
      <c r="B817" s="9" t="s">
        <v>560</v>
      </c>
      <c r="C817" s="2" t="s">
        <v>866</v>
      </c>
      <c r="D817" s="30" t="s">
        <v>154</v>
      </c>
    </row>
    <row x14ac:dyDescent="0.25" r="818" customHeight="1" ht="18.75">
      <c r="A818" s="2" t="s">
        <v>287</v>
      </c>
      <c r="B818" s="3" t="s">
        <v>799</v>
      </c>
      <c r="C818" s="2" t="s">
        <v>866</v>
      </c>
      <c r="D818" s="30" t="s">
        <v>173</v>
      </c>
    </row>
    <row x14ac:dyDescent="0.25" r="819" customHeight="1" ht="18.75">
      <c r="A819" s="2" t="s">
        <v>287</v>
      </c>
      <c r="B819" s="9" t="s">
        <v>288</v>
      </c>
      <c r="C819" s="2" t="s">
        <v>867</v>
      </c>
      <c r="D819" s="30" t="s">
        <v>173</v>
      </c>
    </row>
    <row x14ac:dyDescent="0.25" r="820" customHeight="1" ht="18.75">
      <c r="A820" s="2" t="s">
        <v>287</v>
      </c>
      <c r="B820" s="9" t="s">
        <v>336</v>
      </c>
      <c r="C820" s="2" t="s">
        <v>867</v>
      </c>
      <c r="D820" s="30" t="s">
        <v>154</v>
      </c>
    </row>
    <row x14ac:dyDescent="0.25" r="821" customHeight="1" ht="18.75">
      <c r="A821" s="2" t="s">
        <v>287</v>
      </c>
      <c r="B821" s="9" t="s">
        <v>404</v>
      </c>
      <c r="C821" s="2" t="s">
        <v>868</v>
      </c>
      <c r="D821" s="30" t="s">
        <v>173</v>
      </c>
    </row>
    <row x14ac:dyDescent="0.25" r="822" customHeight="1" ht="18.75">
      <c r="A822" s="2" t="s">
        <v>287</v>
      </c>
      <c r="B822" s="9" t="s">
        <v>869</v>
      </c>
      <c r="C822" s="2" t="s">
        <v>870</v>
      </c>
      <c r="D822" s="30" t="s">
        <v>173</v>
      </c>
    </row>
    <row x14ac:dyDescent="0.25" r="823" customHeight="1" ht="18.75">
      <c r="A823" s="2" t="s">
        <v>287</v>
      </c>
      <c r="B823" s="9" t="s">
        <v>336</v>
      </c>
      <c r="C823" s="2" t="s">
        <v>870</v>
      </c>
      <c r="D823" s="30" t="s">
        <v>175</v>
      </c>
    </row>
    <row x14ac:dyDescent="0.25" r="824" customHeight="1" ht="18.75">
      <c r="A824" s="2" t="s">
        <v>287</v>
      </c>
      <c r="B824" s="9" t="s">
        <v>304</v>
      </c>
      <c r="C824" s="2" t="s">
        <v>871</v>
      </c>
      <c r="D824" s="30" t="s">
        <v>173</v>
      </c>
    </row>
    <row x14ac:dyDescent="0.25" r="825" customHeight="1" ht="18.75">
      <c r="A825" s="2" t="s">
        <v>287</v>
      </c>
      <c r="B825" s="9" t="s">
        <v>612</v>
      </c>
      <c r="C825" s="2" t="s">
        <v>871</v>
      </c>
      <c r="D825" s="30" t="s">
        <v>154</v>
      </c>
    </row>
    <row x14ac:dyDescent="0.25" r="826" customHeight="1" ht="18.75">
      <c r="A826" s="2" t="s">
        <v>287</v>
      </c>
      <c r="B826" s="9" t="s">
        <v>413</v>
      </c>
      <c r="C826" s="2" t="s">
        <v>872</v>
      </c>
      <c r="D826" s="30" t="s">
        <v>154</v>
      </c>
    </row>
    <row x14ac:dyDescent="0.25" r="827" customHeight="1" ht="18.75">
      <c r="A827" s="2" t="s">
        <v>287</v>
      </c>
      <c r="B827" s="3" t="s">
        <v>309</v>
      </c>
      <c r="C827" s="2" t="s">
        <v>872</v>
      </c>
      <c r="D827" s="30" t="s">
        <v>173</v>
      </c>
    </row>
    <row x14ac:dyDescent="0.25" r="828" customHeight="1" ht="18.75">
      <c r="A828" s="2" t="s">
        <v>287</v>
      </c>
      <c r="B828" s="9" t="s">
        <v>791</v>
      </c>
      <c r="C828" s="2" t="s">
        <v>873</v>
      </c>
      <c r="D828" s="30" t="s">
        <v>227</v>
      </c>
    </row>
    <row x14ac:dyDescent="0.25" r="829" customHeight="1" ht="18.75">
      <c r="A829" s="2" t="s">
        <v>287</v>
      </c>
      <c r="B829" s="9" t="s">
        <v>311</v>
      </c>
      <c r="C829" s="2" t="s">
        <v>873</v>
      </c>
      <c r="D829" s="30" t="s">
        <v>154</v>
      </c>
    </row>
    <row x14ac:dyDescent="0.25" r="830" customHeight="1" ht="18.75">
      <c r="A830" s="2" t="s">
        <v>287</v>
      </c>
      <c r="B830" s="9" t="s">
        <v>404</v>
      </c>
      <c r="C830" s="2" t="s">
        <v>874</v>
      </c>
      <c r="D830" s="30" t="s">
        <v>154</v>
      </c>
    </row>
    <row x14ac:dyDescent="0.25" r="831" customHeight="1" ht="18.75">
      <c r="A831" s="2" t="s">
        <v>287</v>
      </c>
      <c r="B831" s="3" t="s">
        <v>336</v>
      </c>
      <c r="C831" s="2" t="s">
        <v>874</v>
      </c>
      <c r="D831" s="30" t="s">
        <v>173</v>
      </c>
    </row>
    <row x14ac:dyDescent="0.25" r="832" customHeight="1" ht="18.75">
      <c r="A832" s="2" t="s">
        <v>287</v>
      </c>
      <c r="B832" s="9" t="s">
        <v>875</v>
      </c>
      <c r="C832" s="2" t="s">
        <v>876</v>
      </c>
      <c r="D832" s="30" t="s">
        <v>173</v>
      </c>
    </row>
    <row x14ac:dyDescent="0.25" r="833" customHeight="1" ht="18.75">
      <c r="A833" s="2" t="s">
        <v>287</v>
      </c>
      <c r="B833" s="9" t="s">
        <v>612</v>
      </c>
      <c r="C833" s="2" t="s">
        <v>876</v>
      </c>
      <c r="D833" s="30" t="s">
        <v>227</v>
      </c>
    </row>
    <row x14ac:dyDescent="0.25" r="834" customHeight="1" ht="18.75">
      <c r="A834" s="2" t="s">
        <v>287</v>
      </c>
      <c r="B834" s="3" t="s">
        <v>560</v>
      </c>
      <c r="C834" s="2" t="s">
        <v>876</v>
      </c>
      <c r="D834" s="30" t="s">
        <v>173</v>
      </c>
    </row>
    <row x14ac:dyDescent="0.25" r="835" customHeight="1" ht="18.75">
      <c r="A835" s="2" t="s">
        <v>287</v>
      </c>
      <c r="B835" s="3" t="s">
        <v>626</v>
      </c>
      <c r="C835" s="2" t="s">
        <v>876</v>
      </c>
      <c r="D835" s="30" t="s">
        <v>154</v>
      </c>
    </row>
    <row x14ac:dyDescent="0.25" r="836" customHeight="1" ht="18.75">
      <c r="A836" s="2" t="s">
        <v>287</v>
      </c>
      <c r="B836" s="9" t="s">
        <v>304</v>
      </c>
      <c r="C836" s="2" t="s">
        <v>877</v>
      </c>
      <c r="D836" s="30" t="s">
        <v>173</v>
      </c>
    </row>
    <row x14ac:dyDescent="0.25" r="837" customHeight="1" ht="18.75">
      <c r="A837" s="2" t="s">
        <v>287</v>
      </c>
      <c r="B837" s="9" t="s">
        <v>612</v>
      </c>
      <c r="C837" s="2" t="s">
        <v>877</v>
      </c>
      <c r="D837" s="30" t="s">
        <v>154</v>
      </c>
    </row>
    <row x14ac:dyDescent="0.25" r="838" customHeight="1" ht="18.75">
      <c r="A838" s="2" t="s">
        <v>287</v>
      </c>
      <c r="B838" s="9" t="s">
        <v>404</v>
      </c>
      <c r="C838" s="2" t="s">
        <v>878</v>
      </c>
      <c r="D838" s="30" t="s">
        <v>208</v>
      </c>
    </row>
    <row x14ac:dyDescent="0.25" r="839" customHeight="1" ht="18.75">
      <c r="A839" s="2" t="s">
        <v>287</v>
      </c>
      <c r="B839" s="9" t="s">
        <v>302</v>
      </c>
      <c r="C839" s="2" t="s">
        <v>878</v>
      </c>
      <c r="D839" s="30" t="s">
        <v>152</v>
      </c>
    </row>
    <row x14ac:dyDescent="0.25" r="840" customHeight="1" ht="18.75">
      <c r="A840" s="2" t="s">
        <v>287</v>
      </c>
      <c r="B840" s="9" t="s">
        <v>404</v>
      </c>
      <c r="C840" s="2" t="s">
        <v>879</v>
      </c>
      <c r="D840" s="30" t="s">
        <v>227</v>
      </c>
    </row>
    <row x14ac:dyDescent="0.25" r="841" customHeight="1" ht="18.75">
      <c r="A841" s="2" t="s">
        <v>287</v>
      </c>
      <c r="B841" s="9" t="s">
        <v>346</v>
      </c>
      <c r="C841" s="2" t="s">
        <v>879</v>
      </c>
      <c r="D841" s="30" t="s">
        <v>154</v>
      </c>
    </row>
    <row x14ac:dyDescent="0.25" r="842" customHeight="1" ht="18.75">
      <c r="A842" s="2" t="s">
        <v>287</v>
      </c>
      <c r="B842" s="9" t="s">
        <v>288</v>
      </c>
      <c r="C842" s="2" t="s">
        <v>880</v>
      </c>
      <c r="D842" s="30" t="s">
        <v>173</v>
      </c>
    </row>
    <row x14ac:dyDescent="0.25" r="843" customHeight="1" ht="18.75">
      <c r="A843" s="2" t="s">
        <v>287</v>
      </c>
      <c r="B843" s="9" t="s">
        <v>336</v>
      </c>
      <c r="C843" s="2" t="s">
        <v>880</v>
      </c>
      <c r="D843" s="30" t="s">
        <v>175</v>
      </c>
    </row>
    <row x14ac:dyDescent="0.25" r="844" customHeight="1" ht="18.75">
      <c r="A844" s="2" t="s">
        <v>287</v>
      </c>
      <c r="B844" s="9" t="s">
        <v>404</v>
      </c>
      <c r="C844" s="2" t="s">
        <v>881</v>
      </c>
      <c r="D844" s="30" t="s">
        <v>173</v>
      </c>
    </row>
    <row x14ac:dyDescent="0.25" r="845" customHeight="1" ht="18.75">
      <c r="A845" s="2" t="s">
        <v>287</v>
      </c>
      <c r="B845" s="9" t="s">
        <v>404</v>
      </c>
      <c r="C845" s="2" t="s">
        <v>882</v>
      </c>
      <c r="D845" s="30" t="s">
        <v>173</v>
      </c>
    </row>
    <row x14ac:dyDescent="0.25" r="846" customHeight="1" ht="18.75">
      <c r="A846" s="2" t="s">
        <v>287</v>
      </c>
      <c r="B846" s="9" t="s">
        <v>404</v>
      </c>
      <c r="C846" s="2" t="s">
        <v>883</v>
      </c>
      <c r="D846" s="30" t="s">
        <v>173</v>
      </c>
    </row>
    <row x14ac:dyDescent="0.25" r="847" customHeight="1" ht="18.75">
      <c r="A847" s="2" t="s">
        <v>287</v>
      </c>
      <c r="B847" s="9" t="s">
        <v>404</v>
      </c>
      <c r="C847" s="2" t="s">
        <v>884</v>
      </c>
      <c r="D847" s="30" t="s">
        <v>173</v>
      </c>
    </row>
    <row x14ac:dyDescent="0.25" r="848" customHeight="1" ht="18.75">
      <c r="A848" s="2" t="s">
        <v>287</v>
      </c>
      <c r="B848" s="35" t="s">
        <v>404</v>
      </c>
      <c r="C848" s="2" t="s">
        <v>885</v>
      </c>
      <c r="D848" s="30" t="s">
        <v>222</v>
      </c>
    </row>
    <row x14ac:dyDescent="0.25" r="849" customHeight="1" ht="18.75">
      <c r="A849" s="2" t="s">
        <v>287</v>
      </c>
      <c r="B849" s="9" t="s">
        <v>404</v>
      </c>
      <c r="C849" s="2" t="s">
        <v>886</v>
      </c>
      <c r="D849" s="30" t="s">
        <v>173</v>
      </c>
    </row>
    <row x14ac:dyDescent="0.25" r="850" customHeight="1" ht="18.75">
      <c r="A850" s="2" t="s">
        <v>287</v>
      </c>
      <c r="B850" s="9" t="s">
        <v>404</v>
      </c>
      <c r="C850" s="2" t="s">
        <v>887</v>
      </c>
      <c r="D850" s="30" t="s">
        <v>173</v>
      </c>
    </row>
    <row x14ac:dyDescent="0.25" r="851" customHeight="1" ht="18.75">
      <c r="A851" s="2" t="s">
        <v>287</v>
      </c>
      <c r="B851" s="35" t="s">
        <v>404</v>
      </c>
      <c r="C851" s="2" t="s">
        <v>888</v>
      </c>
      <c r="D851" s="30" t="s">
        <v>222</v>
      </c>
    </row>
    <row x14ac:dyDescent="0.25" r="852" customHeight="1" ht="18.75">
      <c r="A852" s="2" t="s">
        <v>287</v>
      </c>
      <c r="B852" s="35" t="s">
        <v>560</v>
      </c>
      <c r="C852" s="2" t="s">
        <v>888</v>
      </c>
      <c r="D852" s="30" t="s">
        <v>222</v>
      </c>
    </row>
    <row x14ac:dyDescent="0.25" r="853" customHeight="1" ht="18.75">
      <c r="A853" s="2" t="s">
        <v>287</v>
      </c>
      <c r="B853" s="9" t="s">
        <v>456</v>
      </c>
      <c r="C853" s="2" t="s">
        <v>888</v>
      </c>
      <c r="D853" s="30" t="s">
        <v>173</v>
      </c>
    </row>
    <row x14ac:dyDescent="0.25" r="854" customHeight="1" ht="18.75">
      <c r="A854" s="2" t="s">
        <v>287</v>
      </c>
      <c r="B854" s="3" t="s">
        <v>799</v>
      </c>
      <c r="C854" s="2" t="s">
        <v>888</v>
      </c>
      <c r="D854" s="30" t="s">
        <v>173</v>
      </c>
    </row>
    <row x14ac:dyDescent="0.25" r="855" customHeight="1" ht="18.75">
      <c r="A855" s="2" t="s">
        <v>287</v>
      </c>
      <c r="B855" s="35" t="s">
        <v>404</v>
      </c>
      <c r="C855" s="2" t="s">
        <v>889</v>
      </c>
      <c r="D855" s="30" t="s">
        <v>208</v>
      </c>
    </row>
    <row x14ac:dyDescent="0.25" r="856" customHeight="1" ht="18.75">
      <c r="A856" s="2" t="s">
        <v>287</v>
      </c>
      <c r="B856" s="35" t="s">
        <v>315</v>
      </c>
      <c r="C856" s="2" t="s">
        <v>889</v>
      </c>
      <c r="D856" s="30" t="s">
        <v>173</v>
      </c>
    </row>
    <row x14ac:dyDescent="0.25" r="857" customHeight="1" ht="18.75">
      <c r="A857" s="2" t="s">
        <v>287</v>
      </c>
      <c r="B857" s="9" t="s">
        <v>404</v>
      </c>
      <c r="C857" s="2" t="s">
        <v>890</v>
      </c>
      <c r="D857" s="30" t="s">
        <v>173</v>
      </c>
    </row>
    <row x14ac:dyDescent="0.25" r="858" customHeight="1" ht="18.75">
      <c r="A858" s="2" t="s">
        <v>287</v>
      </c>
      <c r="B858" s="9" t="s">
        <v>404</v>
      </c>
      <c r="C858" s="2" t="s">
        <v>891</v>
      </c>
      <c r="D858" s="30" t="s">
        <v>173</v>
      </c>
    </row>
    <row x14ac:dyDescent="0.25" r="859" customHeight="1" ht="18.75">
      <c r="A859" s="2" t="s">
        <v>287</v>
      </c>
      <c r="B859" s="9" t="s">
        <v>404</v>
      </c>
      <c r="C859" s="2" t="s">
        <v>892</v>
      </c>
      <c r="D859" s="30" t="s">
        <v>173</v>
      </c>
    </row>
    <row x14ac:dyDescent="0.25" r="860" customHeight="1" ht="18.75">
      <c r="A860" s="2" t="s">
        <v>287</v>
      </c>
      <c r="B860" s="9" t="s">
        <v>404</v>
      </c>
      <c r="C860" s="2" t="s">
        <v>893</v>
      </c>
      <c r="D860" s="30" t="s">
        <v>173</v>
      </c>
    </row>
    <row x14ac:dyDescent="0.25" r="861" customHeight="1" ht="18.75">
      <c r="A861" s="2" t="s">
        <v>287</v>
      </c>
      <c r="B861" s="9" t="s">
        <v>612</v>
      </c>
      <c r="C861" s="2" t="s">
        <v>893</v>
      </c>
      <c r="D861" s="30" t="s">
        <v>227</v>
      </c>
    </row>
    <row x14ac:dyDescent="0.25" r="862" customHeight="1" ht="18.75">
      <c r="A862" s="2" t="s">
        <v>287</v>
      </c>
      <c r="B862" s="3" t="s">
        <v>315</v>
      </c>
      <c r="C862" s="2" t="s">
        <v>893</v>
      </c>
      <c r="D862" s="30" t="s">
        <v>154</v>
      </c>
    </row>
    <row x14ac:dyDescent="0.25" r="863" customHeight="1" ht="18.75">
      <c r="A863" s="2" t="s">
        <v>287</v>
      </c>
      <c r="B863" s="9" t="s">
        <v>404</v>
      </c>
      <c r="C863" s="2" t="s">
        <v>894</v>
      </c>
      <c r="D863" s="30" t="s">
        <v>173</v>
      </c>
    </row>
    <row x14ac:dyDescent="0.25" r="864" customHeight="1" ht="18.75">
      <c r="A864" s="2" t="s">
        <v>287</v>
      </c>
      <c r="B864" s="9" t="s">
        <v>404</v>
      </c>
      <c r="C864" s="2" t="s">
        <v>895</v>
      </c>
      <c r="D864" s="30" t="s">
        <v>173</v>
      </c>
    </row>
    <row x14ac:dyDescent="0.25" r="865" customHeight="1" ht="18.75">
      <c r="A865" s="2" t="s">
        <v>287</v>
      </c>
      <c r="B865" s="9" t="s">
        <v>404</v>
      </c>
      <c r="C865" s="2" t="s">
        <v>896</v>
      </c>
      <c r="D865" s="30" t="s">
        <v>208</v>
      </c>
    </row>
    <row x14ac:dyDescent="0.25" r="866" customHeight="1" ht="18.75">
      <c r="A866" s="2" t="s">
        <v>287</v>
      </c>
      <c r="B866" s="3" t="s">
        <v>394</v>
      </c>
      <c r="C866" s="2" t="s">
        <v>896</v>
      </c>
      <c r="D866" s="30" t="s">
        <v>173</v>
      </c>
    </row>
    <row x14ac:dyDescent="0.25" r="867" customHeight="1" ht="18.75">
      <c r="A867" s="2" t="s">
        <v>287</v>
      </c>
      <c r="B867" s="35" t="s">
        <v>404</v>
      </c>
      <c r="C867" s="2" t="s">
        <v>897</v>
      </c>
      <c r="D867" s="30" t="s">
        <v>222</v>
      </c>
    </row>
    <row x14ac:dyDescent="0.25" r="868" customHeight="1" ht="18.75">
      <c r="A868" s="2" t="s">
        <v>287</v>
      </c>
      <c r="B868" s="35" t="s">
        <v>302</v>
      </c>
      <c r="C868" s="2" t="s">
        <v>897</v>
      </c>
      <c r="D868" s="30" t="s">
        <v>222</v>
      </c>
    </row>
    <row x14ac:dyDescent="0.25" r="869" customHeight="1" ht="18.75">
      <c r="A869" s="2" t="s">
        <v>287</v>
      </c>
      <c r="B869" s="9" t="s">
        <v>791</v>
      </c>
      <c r="C869" s="2" t="s">
        <v>898</v>
      </c>
      <c r="D869" s="30" t="s">
        <v>154</v>
      </c>
    </row>
    <row x14ac:dyDescent="0.25" r="870" customHeight="1" ht="18.75">
      <c r="A870" s="2" t="s">
        <v>287</v>
      </c>
      <c r="B870" s="3" t="s">
        <v>311</v>
      </c>
      <c r="C870" s="2" t="s">
        <v>898</v>
      </c>
      <c r="D870" s="30" t="s">
        <v>173</v>
      </c>
    </row>
    <row x14ac:dyDescent="0.25" r="871" customHeight="1" ht="18.75">
      <c r="A871" s="2" t="s">
        <v>287</v>
      </c>
      <c r="B871" s="9" t="s">
        <v>404</v>
      </c>
      <c r="C871" s="2" t="s">
        <v>899</v>
      </c>
      <c r="D871" s="30" t="s">
        <v>173</v>
      </c>
    </row>
    <row x14ac:dyDescent="0.25" r="872" customHeight="1" ht="18.75">
      <c r="A872" s="2" t="s">
        <v>287</v>
      </c>
      <c r="B872" s="9" t="s">
        <v>612</v>
      </c>
      <c r="C872" s="2" t="s">
        <v>899</v>
      </c>
      <c r="D872" s="30" t="s">
        <v>175</v>
      </c>
    </row>
    <row x14ac:dyDescent="0.25" r="873" customHeight="1" ht="18.75">
      <c r="A873" s="2" t="s">
        <v>287</v>
      </c>
      <c r="B873" s="9" t="s">
        <v>612</v>
      </c>
      <c r="C873" s="2" t="s">
        <v>900</v>
      </c>
      <c r="D873" s="30" t="s">
        <v>227</v>
      </c>
    </row>
    <row x14ac:dyDescent="0.25" r="874" customHeight="1" ht="18.75">
      <c r="A874" s="2" t="s">
        <v>287</v>
      </c>
      <c r="B874" s="9" t="s">
        <v>398</v>
      </c>
      <c r="C874" s="2" t="s">
        <v>900</v>
      </c>
      <c r="D874" s="30" t="s">
        <v>154</v>
      </c>
    </row>
    <row x14ac:dyDescent="0.25" r="875" customHeight="1" ht="18.75">
      <c r="A875" s="2" t="s">
        <v>287</v>
      </c>
      <c r="B875" s="9" t="s">
        <v>304</v>
      </c>
      <c r="C875" s="2" t="s">
        <v>901</v>
      </c>
      <c r="D875" s="30" t="s">
        <v>173</v>
      </c>
    </row>
    <row x14ac:dyDescent="0.25" r="876" customHeight="1" ht="18.75">
      <c r="A876" s="2" t="s">
        <v>287</v>
      </c>
      <c r="B876" s="9" t="s">
        <v>560</v>
      </c>
      <c r="C876" s="2" t="s">
        <v>901</v>
      </c>
      <c r="D876" s="30" t="s">
        <v>227</v>
      </c>
    </row>
    <row x14ac:dyDescent="0.25" r="877" customHeight="1" ht="18.75">
      <c r="A877" s="2" t="s">
        <v>287</v>
      </c>
      <c r="B877" s="3" t="s">
        <v>824</v>
      </c>
      <c r="C877" s="2" t="s">
        <v>901</v>
      </c>
      <c r="D877" s="30" t="s">
        <v>154</v>
      </c>
    </row>
    <row x14ac:dyDescent="0.25" r="878" customHeight="1" ht="18.75">
      <c r="A878" s="2" t="s">
        <v>287</v>
      </c>
      <c r="B878" s="9" t="s">
        <v>304</v>
      </c>
      <c r="C878" s="2" t="s">
        <v>902</v>
      </c>
      <c r="D878" s="30" t="s">
        <v>173</v>
      </c>
    </row>
    <row x14ac:dyDescent="0.25" r="879" customHeight="1" ht="18.75">
      <c r="A879" s="2" t="s">
        <v>287</v>
      </c>
      <c r="B879" s="9" t="s">
        <v>612</v>
      </c>
      <c r="C879" s="2" t="s">
        <v>902</v>
      </c>
      <c r="D879" s="30" t="s">
        <v>154</v>
      </c>
    </row>
    <row x14ac:dyDescent="0.25" r="880" customHeight="1" ht="18.75">
      <c r="A880" s="2" t="s">
        <v>287</v>
      </c>
      <c r="B880" s="9" t="s">
        <v>304</v>
      </c>
      <c r="C880" s="2" t="s">
        <v>903</v>
      </c>
      <c r="D880" s="30" t="s">
        <v>173</v>
      </c>
    </row>
    <row x14ac:dyDescent="0.25" r="881" customHeight="1" ht="18.75">
      <c r="A881" s="2" t="s">
        <v>287</v>
      </c>
      <c r="B881" s="9" t="s">
        <v>560</v>
      </c>
      <c r="C881" s="2" t="s">
        <v>903</v>
      </c>
      <c r="D881" s="30" t="s">
        <v>154</v>
      </c>
    </row>
    <row x14ac:dyDescent="0.25" r="882" customHeight="1" ht="18.75">
      <c r="A882" s="2" t="s">
        <v>287</v>
      </c>
      <c r="B882" s="3" t="s">
        <v>799</v>
      </c>
      <c r="C882" s="2" t="s">
        <v>903</v>
      </c>
      <c r="D882" s="30" t="s">
        <v>173</v>
      </c>
    </row>
    <row x14ac:dyDescent="0.25" r="883" customHeight="1" ht="18.75">
      <c r="A883" s="2" t="s">
        <v>287</v>
      </c>
      <c r="B883" s="9" t="s">
        <v>304</v>
      </c>
      <c r="C883" s="2" t="s">
        <v>904</v>
      </c>
      <c r="D883" s="30" t="s">
        <v>173</v>
      </c>
    </row>
    <row x14ac:dyDescent="0.25" r="884" customHeight="1" ht="18.75">
      <c r="A884" s="2" t="s">
        <v>287</v>
      </c>
      <c r="B884" s="9" t="s">
        <v>560</v>
      </c>
      <c r="C884" s="2" t="s">
        <v>904</v>
      </c>
      <c r="D884" s="30" t="s">
        <v>227</v>
      </c>
    </row>
    <row x14ac:dyDescent="0.25" r="885" customHeight="1" ht="18.75">
      <c r="A885" s="2" t="s">
        <v>287</v>
      </c>
      <c r="B885" s="3" t="s">
        <v>824</v>
      </c>
      <c r="C885" s="2" t="s">
        <v>904</v>
      </c>
      <c r="D885" s="30" t="s">
        <v>154</v>
      </c>
    </row>
    <row x14ac:dyDescent="0.25" r="886" customHeight="1" ht="18.75">
      <c r="A886" s="2" t="s">
        <v>287</v>
      </c>
      <c r="B886" s="9" t="s">
        <v>304</v>
      </c>
      <c r="C886" s="2" t="s">
        <v>905</v>
      </c>
      <c r="D886" s="30" t="s">
        <v>173</v>
      </c>
    </row>
    <row x14ac:dyDescent="0.25" r="887" customHeight="1" ht="18.75">
      <c r="A887" s="2" t="s">
        <v>287</v>
      </c>
      <c r="B887" s="9" t="s">
        <v>560</v>
      </c>
      <c r="C887" s="2" t="s">
        <v>905</v>
      </c>
      <c r="D887" s="30" t="s">
        <v>154</v>
      </c>
    </row>
    <row x14ac:dyDescent="0.25" r="888" customHeight="1" ht="18.75">
      <c r="A888" s="2" t="s">
        <v>287</v>
      </c>
      <c r="B888" s="3" t="s">
        <v>799</v>
      </c>
      <c r="C888" s="2" t="s">
        <v>905</v>
      </c>
      <c r="D888" s="30" t="s">
        <v>173</v>
      </c>
    </row>
    <row x14ac:dyDescent="0.25" r="889" customHeight="1" ht="18.75">
      <c r="A889" s="2" t="s">
        <v>287</v>
      </c>
      <c r="B889" s="9" t="s">
        <v>304</v>
      </c>
      <c r="C889" s="2" t="s">
        <v>906</v>
      </c>
      <c r="D889" s="30" t="s">
        <v>173</v>
      </c>
    </row>
    <row x14ac:dyDescent="0.25" r="890" customHeight="1" ht="18.75">
      <c r="A890" s="2" t="s">
        <v>287</v>
      </c>
      <c r="B890" s="9" t="s">
        <v>560</v>
      </c>
      <c r="C890" s="2" t="s">
        <v>906</v>
      </c>
      <c r="D890" s="30" t="s">
        <v>286</v>
      </c>
    </row>
    <row x14ac:dyDescent="0.25" r="891" customHeight="1" ht="18.75">
      <c r="A891" s="2" t="s">
        <v>287</v>
      </c>
      <c r="B891" s="9" t="s">
        <v>304</v>
      </c>
      <c r="C891" s="2" t="s">
        <v>907</v>
      </c>
      <c r="D891" s="30" t="s">
        <v>173</v>
      </c>
    </row>
    <row x14ac:dyDescent="0.25" r="892" customHeight="1" ht="18.75">
      <c r="A892" s="2" t="s">
        <v>287</v>
      </c>
      <c r="B892" s="9" t="s">
        <v>560</v>
      </c>
      <c r="C892" s="2" t="s">
        <v>907</v>
      </c>
      <c r="D892" s="30" t="s">
        <v>286</v>
      </c>
    </row>
    <row x14ac:dyDescent="0.25" r="893" customHeight="1" ht="18.75">
      <c r="A893" s="2" t="s">
        <v>287</v>
      </c>
      <c r="B893" s="9" t="s">
        <v>560</v>
      </c>
      <c r="C893" s="2" t="s">
        <v>908</v>
      </c>
      <c r="D893" s="30" t="s">
        <v>227</v>
      </c>
    </row>
    <row x14ac:dyDescent="0.25" r="894" customHeight="1" ht="18.75">
      <c r="A894" s="2" t="s">
        <v>287</v>
      </c>
      <c r="B894" s="9" t="s">
        <v>302</v>
      </c>
      <c r="C894" s="2" t="s">
        <v>908</v>
      </c>
      <c r="D894" s="30" t="s">
        <v>154</v>
      </c>
    </row>
    <row x14ac:dyDescent="0.25" r="895" customHeight="1" ht="18.75">
      <c r="A895" s="2" t="s">
        <v>287</v>
      </c>
      <c r="B895" s="9" t="s">
        <v>288</v>
      </c>
      <c r="C895" s="2" t="s">
        <v>909</v>
      </c>
      <c r="D895" s="30" t="s">
        <v>173</v>
      </c>
    </row>
    <row x14ac:dyDescent="0.25" r="896" customHeight="1" ht="18.75">
      <c r="A896" s="2" t="s">
        <v>287</v>
      </c>
      <c r="B896" s="9" t="s">
        <v>336</v>
      </c>
      <c r="C896" s="2" t="s">
        <v>909</v>
      </c>
      <c r="D896" s="30" t="s">
        <v>154</v>
      </c>
    </row>
    <row x14ac:dyDescent="0.25" r="897" customHeight="1" ht="18.75">
      <c r="A897" s="2" t="s">
        <v>287</v>
      </c>
      <c r="B897" s="9" t="s">
        <v>315</v>
      </c>
      <c r="C897" s="2" t="s">
        <v>910</v>
      </c>
      <c r="D897" s="30" t="s">
        <v>175</v>
      </c>
    </row>
    <row x14ac:dyDescent="0.25" r="898" customHeight="1" ht="18.75">
      <c r="A898" s="2" t="s">
        <v>287</v>
      </c>
      <c r="B898" s="9" t="s">
        <v>836</v>
      </c>
      <c r="C898" s="2" t="s">
        <v>910</v>
      </c>
      <c r="D898" s="30" t="s">
        <v>173</v>
      </c>
    </row>
    <row x14ac:dyDescent="0.25" r="899" customHeight="1" ht="18.75">
      <c r="A899" s="2" t="s">
        <v>287</v>
      </c>
      <c r="B899" s="9" t="s">
        <v>304</v>
      </c>
      <c r="C899" s="2" t="s">
        <v>911</v>
      </c>
      <c r="D899" s="30" t="s">
        <v>173</v>
      </c>
    </row>
    <row x14ac:dyDescent="0.25" r="900" customHeight="1" ht="18.75">
      <c r="A900" s="2" t="s">
        <v>287</v>
      </c>
      <c r="B900" s="9" t="s">
        <v>366</v>
      </c>
      <c r="C900" s="2" t="s">
        <v>911</v>
      </c>
      <c r="D900" s="30" t="s">
        <v>154</v>
      </c>
    </row>
    <row x14ac:dyDescent="0.25" r="901" customHeight="1" ht="18.75">
      <c r="A901" s="2" t="s">
        <v>287</v>
      </c>
      <c r="B901" s="32" t="s">
        <v>616</v>
      </c>
      <c r="C901" s="2" t="s">
        <v>912</v>
      </c>
      <c r="D901" s="30" t="s">
        <v>806</v>
      </c>
    </row>
    <row x14ac:dyDescent="0.25" r="902" customHeight="1" ht="18.75">
      <c r="A902" s="2" t="s">
        <v>287</v>
      </c>
      <c r="B902" s="9" t="s">
        <v>304</v>
      </c>
      <c r="C902" s="2" t="s">
        <v>913</v>
      </c>
      <c r="D902" s="30" t="s">
        <v>173</v>
      </c>
    </row>
    <row x14ac:dyDescent="0.25" r="903" customHeight="1" ht="18.75">
      <c r="A903" s="2" t="s">
        <v>287</v>
      </c>
      <c r="B903" s="9" t="s">
        <v>366</v>
      </c>
      <c r="C903" s="2" t="s">
        <v>913</v>
      </c>
      <c r="D903" s="30" t="s">
        <v>175</v>
      </c>
    </row>
    <row x14ac:dyDescent="0.25" r="904" customHeight="1" ht="18.75">
      <c r="A904" s="2" t="s">
        <v>287</v>
      </c>
      <c r="B904" s="9" t="s">
        <v>304</v>
      </c>
      <c r="C904" s="2" t="s">
        <v>914</v>
      </c>
      <c r="D904" s="30" t="s">
        <v>173</v>
      </c>
    </row>
    <row x14ac:dyDescent="0.25" r="905" customHeight="1" ht="18.75">
      <c r="A905" s="2" t="s">
        <v>287</v>
      </c>
      <c r="B905" s="9" t="s">
        <v>560</v>
      </c>
      <c r="C905" s="2" t="s">
        <v>914</v>
      </c>
      <c r="D905" s="30" t="s">
        <v>227</v>
      </c>
    </row>
    <row x14ac:dyDescent="0.25" r="906" customHeight="1" ht="18.75">
      <c r="A906" s="2" t="s">
        <v>287</v>
      </c>
      <c r="B906" s="3" t="s">
        <v>824</v>
      </c>
      <c r="C906" s="2" t="s">
        <v>914</v>
      </c>
      <c r="D906" s="30" t="s">
        <v>154</v>
      </c>
    </row>
    <row x14ac:dyDescent="0.25" r="907" customHeight="1" ht="18.75">
      <c r="A907" s="2" t="s">
        <v>287</v>
      </c>
      <c r="B907" s="3" t="s">
        <v>626</v>
      </c>
      <c r="C907" s="2" t="s">
        <v>914</v>
      </c>
      <c r="D907" s="30" t="s">
        <v>173</v>
      </c>
    </row>
    <row x14ac:dyDescent="0.25" r="908" customHeight="1" ht="18.75">
      <c r="A908" s="2" t="s">
        <v>287</v>
      </c>
      <c r="B908" s="9" t="s">
        <v>612</v>
      </c>
      <c r="C908" s="2" t="s">
        <v>915</v>
      </c>
      <c r="D908" s="30" t="s">
        <v>227</v>
      </c>
    </row>
    <row x14ac:dyDescent="0.25" r="909" customHeight="1" ht="18.75">
      <c r="A909" s="2" t="s">
        <v>287</v>
      </c>
      <c r="B909" s="3" t="s">
        <v>315</v>
      </c>
      <c r="C909" s="2" t="s">
        <v>915</v>
      </c>
      <c r="D909" s="30" t="s">
        <v>154</v>
      </c>
    </row>
    <row x14ac:dyDescent="0.25" r="910" customHeight="1" ht="18.75">
      <c r="A910" s="2" t="s">
        <v>287</v>
      </c>
      <c r="B910" s="9" t="s">
        <v>304</v>
      </c>
      <c r="C910" s="2" t="s">
        <v>916</v>
      </c>
      <c r="D910" s="30" t="s">
        <v>227</v>
      </c>
    </row>
    <row x14ac:dyDescent="0.25" r="911" customHeight="1" ht="18.75">
      <c r="A911" s="2" t="s">
        <v>287</v>
      </c>
      <c r="B911" s="3" t="s">
        <v>612</v>
      </c>
      <c r="C911" s="2" t="s">
        <v>916</v>
      </c>
      <c r="D911" s="30" t="s">
        <v>154</v>
      </c>
    </row>
    <row x14ac:dyDescent="0.25" r="912" customHeight="1" ht="18.75">
      <c r="A912" s="2" t="s">
        <v>287</v>
      </c>
      <c r="B912" s="9" t="s">
        <v>402</v>
      </c>
      <c r="C912" s="31" t="s">
        <v>917</v>
      </c>
      <c r="D912" s="30" t="s">
        <v>227</v>
      </c>
    </row>
    <row x14ac:dyDescent="0.25" r="913" customHeight="1" ht="18.75">
      <c r="A913" s="2" t="s">
        <v>287</v>
      </c>
      <c r="B913" s="3" t="s">
        <v>302</v>
      </c>
      <c r="C913" s="2" t="s">
        <v>917</v>
      </c>
      <c r="D913" s="30" t="s">
        <v>154</v>
      </c>
    </row>
    <row x14ac:dyDescent="0.25" r="914" customHeight="1" ht="18.75">
      <c r="A914" s="2" t="s">
        <v>287</v>
      </c>
      <c r="B914" s="32" t="s">
        <v>404</v>
      </c>
      <c r="C914" s="2" t="s">
        <v>918</v>
      </c>
      <c r="D914" s="30" t="s">
        <v>222</v>
      </c>
    </row>
    <row x14ac:dyDescent="0.25" r="915" customHeight="1" ht="18.75">
      <c r="A915" s="2" t="s">
        <v>287</v>
      </c>
      <c r="B915" s="9" t="s">
        <v>456</v>
      </c>
      <c r="C915" s="2" t="s">
        <v>919</v>
      </c>
      <c r="D915" s="30" t="s">
        <v>208</v>
      </c>
    </row>
    <row x14ac:dyDescent="0.25" r="916" customHeight="1" ht="18.75">
      <c r="A916" s="2" t="s">
        <v>287</v>
      </c>
      <c r="B916" s="9" t="s">
        <v>304</v>
      </c>
      <c r="C916" s="2" t="s">
        <v>919</v>
      </c>
      <c r="D916" s="30" t="s">
        <v>173</v>
      </c>
    </row>
    <row x14ac:dyDescent="0.25" r="917" customHeight="1" ht="18.75">
      <c r="A917" s="2" t="s">
        <v>287</v>
      </c>
      <c r="B917" s="3" t="s">
        <v>920</v>
      </c>
      <c r="C917" s="33" t="s">
        <v>921</v>
      </c>
      <c r="D917" s="30" t="s">
        <v>173</v>
      </c>
    </row>
    <row x14ac:dyDescent="0.25" r="918" customHeight="1" ht="18.75">
      <c r="A918" s="2" t="s">
        <v>287</v>
      </c>
      <c r="B918" s="3" t="s">
        <v>612</v>
      </c>
      <c r="C918" s="2" t="s">
        <v>921</v>
      </c>
      <c r="D918" s="30" t="s">
        <v>209</v>
      </c>
    </row>
    <row x14ac:dyDescent="0.25" r="919" customHeight="1" ht="18.75">
      <c r="A919" s="2" t="s">
        <v>287</v>
      </c>
      <c r="B919" s="9" t="s">
        <v>315</v>
      </c>
      <c r="C919" s="2" t="s">
        <v>922</v>
      </c>
      <c r="D919" s="30" t="s">
        <v>173</v>
      </c>
    </row>
    <row x14ac:dyDescent="0.25" r="920" customHeight="1" ht="18.75">
      <c r="A920" s="2" t="s">
        <v>287</v>
      </c>
      <c r="B920" s="3" t="s">
        <v>836</v>
      </c>
      <c r="C920" s="2" t="s">
        <v>922</v>
      </c>
      <c r="D920" s="30" t="s">
        <v>209</v>
      </c>
    </row>
    <row x14ac:dyDescent="0.25" r="921" customHeight="1" ht="18.75">
      <c r="A921" s="2" t="s">
        <v>287</v>
      </c>
      <c r="B921" s="9" t="s">
        <v>304</v>
      </c>
      <c r="C921" s="2" t="s">
        <v>923</v>
      </c>
      <c r="D921" s="30" t="s">
        <v>173</v>
      </c>
    </row>
    <row x14ac:dyDescent="0.25" r="922" customHeight="1" ht="18.75">
      <c r="A922" s="2" t="s">
        <v>287</v>
      </c>
      <c r="B922" s="3" t="s">
        <v>302</v>
      </c>
      <c r="C922" s="2" t="s">
        <v>923</v>
      </c>
      <c r="D922" s="30" t="s">
        <v>173</v>
      </c>
    </row>
    <row x14ac:dyDescent="0.25" r="923" customHeight="1" ht="18.75">
      <c r="A923" s="2" t="s">
        <v>287</v>
      </c>
      <c r="B923" s="9" t="s">
        <v>560</v>
      </c>
      <c r="C923" s="2" t="s">
        <v>923</v>
      </c>
      <c r="D923" s="30" t="s">
        <v>227</v>
      </c>
    </row>
    <row x14ac:dyDescent="0.25" r="924" customHeight="1" ht="18.75">
      <c r="A924" s="2" t="s">
        <v>287</v>
      </c>
      <c r="B924" s="3" t="s">
        <v>302</v>
      </c>
      <c r="C924" s="31" t="s">
        <v>924</v>
      </c>
      <c r="D924" s="30" t="s">
        <v>154</v>
      </c>
    </row>
    <row x14ac:dyDescent="0.25" r="925" customHeight="1" ht="18.75">
      <c r="A925" s="2" t="s">
        <v>287</v>
      </c>
      <c r="B925" s="3" t="s">
        <v>290</v>
      </c>
      <c r="C925" s="31" t="s">
        <v>925</v>
      </c>
      <c r="D925" s="30" t="s">
        <v>173</v>
      </c>
    </row>
    <row x14ac:dyDescent="0.25" r="926" customHeight="1" ht="18.75">
      <c r="A926" s="2" t="s">
        <v>287</v>
      </c>
      <c r="B926" s="3" t="s">
        <v>290</v>
      </c>
      <c r="C926" s="31" t="s">
        <v>926</v>
      </c>
      <c r="D926" s="30" t="s">
        <v>209</v>
      </c>
    </row>
    <row x14ac:dyDescent="0.25" r="927" customHeight="1" ht="18.75">
      <c r="A927" s="2" t="s">
        <v>287</v>
      </c>
      <c r="B927" s="3" t="s">
        <v>402</v>
      </c>
      <c r="C927" s="31" t="s">
        <v>927</v>
      </c>
      <c r="D927" s="30" t="s">
        <v>173</v>
      </c>
    </row>
    <row x14ac:dyDescent="0.25" r="928" customHeight="1" ht="18.75">
      <c r="A928" s="2" t="s">
        <v>287</v>
      </c>
      <c r="B928" s="3" t="s">
        <v>402</v>
      </c>
      <c r="C928" s="31" t="s">
        <v>928</v>
      </c>
      <c r="D928" s="30" t="s">
        <v>209</v>
      </c>
    </row>
    <row x14ac:dyDescent="0.25" r="929" customHeight="1" ht="18.75">
      <c r="A929" s="2" t="s">
        <v>287</v>
      </c>
      <c r="B929" s="3" t="s">
        <v>329</v>
      </c>
      <c r="C929" s="31" t="s">
        <v>929</v>
      </c>
      <c r="D929" s="30" t="s">
        <v>173</v>
      </c>
    </row>
    <row x14ac:dyDescent="0.25" r="930" customHeight="1" ht="18.75">
      <c r="A930" s="2" t="s">
        <v>287</v>
      </c>
      <c r="B930" s="3" t="s">
        <v>329</v>
      </c>
      <c r="C930" s="31" t="s">
        <v>930</v>
      </c>
      <c r="D930" s="30" t="s">
        <v>209</v>
      </c>
    </row>
    <row x14ac:dyDescent="0.25" r="931" customHeight="1" ht="18.75">
      <c r="A931" s="2" t="s">
        <v>287</v>
      </c>
      <c r="B931" s="3" t="s">
        <v>612</v>
      </c>
      <c r="C931" s="31" t="s">
        <v>931</v>
      </c>
      <c r="D931" s="30" t="s">
        <v>173</v>
      </c>
    </row>
    <row x14ac:dyDescent="0.25" r="932" customHeight="1" ht="18.75">
      <c r="A932" s="2" t="s">
        <v>287</v>
      </c>
      <c r="B932" s="3" t="s">
        <v>612</v>
      </c>
      <c r="C932" s="31" t="s">
        <v>932</v>
      </c>
      <c r="D932" s="30" t="s">
        <v>222</v>
      </c>
    </row>
    <row x14ac:dyDescent="0.25" r="933" customHeight="1" ht="18.75">
      <c r="A933" s="2" t="s">
        <v>287</v>
      </c>
      <c r="B933" s="3" t="s">
        <v>920</v>
      </c>
      <c r="C933" s="31" t="s">
        <v>932</v>
      </c>
      <c r="D933" s="30" t="s">
        <v>173</v>
      </c>
    </row>
    <row x14ac:dyDescent="0.25" r="934" customHeight="1" ht="18.75">
      <c r="A934" s="2" t="s">
        <v>287</v>
      </c>
      <c r="B934" s="3" t="s">
        <v>302</v>
      </c>
      <c r="C934" s="31" t="s">
        <v>933</v>
      </c>
      <c r="D934" s="30" t="s">
        <v>173</v>
      </c>
    </row>
    <row x14ac:dyDescent="0.25" r="935" customHeight="1" ht="18.75">
      <c r="A935" s="2" t="s">
        <v>287</v>
      </c>
      <c r="B935" s="3" t="s">
        <v>302</v>
      </c>
      <c r="C935" s="31" t="s">
        <v>934</v>
      </c>
      <c r="D935" s="30" t="s">
        <v>209</v>
      </c>
    </row>
    <row x14ac:dyDescent="0.25" r="936" customHeight="1" ht="18.75">
      <c r="A936" s="2" t="s">
        <v>287</v>
      </c>
      <c r="B936" s="3" t="s">
        <v>421</v>
      </c>
      <c r="C936" s="31" t="s">
        <v>935</v>
      </c>
      <c r="D936" s="30" t="s">
        <v>173</v>
      </c>
    </row>
    <row x14ac:dyDescent="0.25" r="937" customHeight="1" ht="18.75">
      <c r="A937" s="2" t="s">
        <v>287</v>
      </c>
      <c r="B937" s="3" t="s">
        <v>421</v>
      </c>
      <c r="C937" s="31" t="s">
        <v>936</v>
      </c>
      <c r="D937" s="30" t="s">
        <v>209</v>
      </c>
    </row>
    <row x14ac:dyDescent="0.25" r="938" customHeight="1" ht="18.75">
      <c r="A938" s="2" t="s">
        <v>287</v>
      </c>
      <c r="B938" s="9" t="s">
        <v>700</v>
      </c>
      <c r="C938" s="2" t="s">
        <v>937</v>
      </c>
      <c r="D938" s="30" t="s">
        <v>173</v>
      </c>
    </row>
    <row x14ac:dyDescent="0.25" r="939" customHeight="1" ht="18.75">
      <c r="A939" s="2" t="s">
        <v>287</v>
      </c>
      <c r="B939" s="9" t="s">
        <v>296</v>
      </c>
      <c r="C939" s="2" t="s">
        <v>937</v>
      </c>
      <c r="D939" s="30" t="s">
        <v>154</v>
      </c>
    </row>
    <row x14ac:dyDescent="0.25" r="940" customHeight="1" ht="18.75">
      <c r="A940" s="2" t="s">
        <v>287</v>
      </c>
      <c r="B940" s="9" t="s">
        <v>304</v>
      </c>
      <c r="C940" s="2" t="s">
        <v>938</v>
      </c>
      <c r="D940" s="30" t="s">
        <v>173</v>
      </c>
    </row>
    <row x14ac:dyDescent="0.25" r="941" customHeight="1" ht="18.75">
      <c r="A941" s="2" t="s">
        <v>287</v>
      </c>
      <c r="B941" s="9" t="s">
        <v>560</v>
      </c>
      <c r="C941" s="2" t="s">
        <v>938</v>
      </c>
      <c r="D941" s="30" t="s">
        <v>286</v>
      </c>
    </row>
    <row x14ac:dyDescent="0.25" r="942" customHeight="1" ht="18.75">
      <c r="A942" s="2" t="s">
        <v>287</v>
      </c>
      <c r="B942" s="9" t="s">
        <v>309</v>
      </c>
      <c r="C942" s="2" t="s">
        <v>939</v>
      </c>
      <c r="D942" s="30" t="s">
        <v>173</v>
      </c>
    </row>
    <row x14ac:dyDescent="0.25" r="943" customHeight="1" ht="18.75">
      <c r="A943" s="2" t="s">
        <v>287</v>
      </c>
      <c r="B943" s="9" t="s">
        <v>560</v>
      </c>
      <c r="C943" s="2" t="s">
        <v>939</v>
      </c>
      <c r="D943" s="30" t="s">
        <v>286</v>
      </c>
    </row>
    <row x14ac:dyDescent="0.25" r="944" customHeight="1" ht="18.75">
      <c r="A944" s="2" t="s">
        <v>287</v>
      </c>
      <c r="B944" s="9" t="s">
        <v>304</v>
      </c>
      <c r="C944" s="2" t="s">
        <v>940</v>
      </c>
      <c r="D944" s="30" t="s">
        <v>173</v>
      </c>
    </row>
    <row x14ac:dyDescent="0.25" r="945" customHeight="1" ht="18.75">
      <c r="A945" s="2" t="s">
        <v>287</v>
      </c>
      <c r="B945" s="9" t="s">
        <v>402</v>
      </c>
      <c r="C945" s="2" t="s">
        <v>940</v>
      </c>
      <c r="D945" s="30" t="s">
        <v>154</v>
      </c>
    </row>
    <row x14ac:dyDescent="0.25" r="946" customHeight="1" ht="18.75">
      <c r="A946" s="2" t="s">
        <v>287</v>
      </c>
      <c r="B946" s="9" t="s">
        <v>875</v>
      </c>
      <c r="C946" s="2" t="s">
        <v>941</v>
      </c>
      <c r="D946" s="30" t="s">
        <v>173</v>
      </c>
    </row>
    <row x14ac:dyDescent="0.25" r="947" customHeight="1" ht="18.75">
      <c r="A947" s="2" t="s">
        <v>287</v>
      </c>
      <c r="B947" s="9" t="s">
        <v>612</v>
      </c>
      <c r="C947" s="2" t="s">
        <v>941</v>
      </c>
      <c r="D947" s="30" t="s">
        <v>154</v>
      </c>
    </row>
    <row x14ac:dyDescent="0.25" r="948" customHeight="1" ht="18.75">
      <c r="A948" s="2" t="s">
        <v>287</v>
      </c>
      <c r="B948" s="9" t="s">
        <v>364</v>
      </c>
      <c r="C948" s="2" t="s">
        <v>942</v>
      </c>
      <c r="D948" s="30" t="s">
        <v>227</v>
      </c>
    </row>
    <row x14ac:dyDescent="0.25" r="949" customHeight="1" ht="18.75">
      <c r="A949" s="2" t="s">
        <v>287</v>
      </c>
      <c r="B949" s="9" t="s">
        <v>402</v>
      </c>
      <c r="C949" s="2" t="s">
        <v>942</v>
      </c>
      <c r="D949" s="30" t="s">
        <v>173</v>
      </c>
    </row>
    <row x14ac:dyDescent="0.25" r="950" customHeight="1" ht="18.75">
      <c r="A950" s="2" t="s">
        <v>287</v>
      </c>
      <c r="B950" s="3" t="s">
        <v>560</v>
      </c>
      <c r="C950" s="2" t="s">
        <v>942</v>
      </c>
      <c r="D950" s="30" t="s">
        <v>154</v>
      </c>
    </row>
    <row x14ac:dyDescent="0.25" r="951" customHeight="1" ht="18.75">
      <c r="A951" s="2" t="s">
        <v>287</v>
      </c>
      <c r="B951" s="3" t="s">
        <v>799</v>
      </c>
      <c r="C951" s="2" t="s">
        <v>942</v>
      </c>
      <c r="D951" s="30" t="s">
        <v>173</v>
      </c>
    </row>
    <row x14ac:dyDescent="0.25" r="952" customHeight="1" ht="18.75">
      <c r="A952" s="2" t="s">
        <v>287</v>
      </c>
      <c r="B952" s="9" t="s">
        <v>304</v>
      </c>
      <c r="C952" s="2" t="s">
        <v>943</v>
      </c>
      <c r="D952" s="30" t="s">
        <v>173</v>
      </c>
    </row>
    <row x14ac:dyDescent="0.25" r="953" customHeight="1" ht="18.75">
      <c r="A953" s="2" t="s">
        <v>287</v>
      </c>
      <c r="B953" s="9" t="s">
        <v>402</v>
      </c>
      <c r="C953" s="2" t="s">
        <v>943</v>
      </c>
      <c r="D953" s="30" t="s">
        <v>154</v>
      </c>
    </row>
    <row x14ac:dyDescent="0.25" r="954" customHeight="1" ht="18.75">
      <c r="A954" s="2" t="s">
        <v>287</v>
      </c>
      <c r="B954" s="9" t="s">
        <v>304</v>
      </c>
      <c r="C954" s="2" t="s">
        <v>944</v>
      </c>
      <c r="D954" s="30" t="s">
        <v>173</v>
      </c>
    </row>
    <row x14ac:dyDescent="0.25" r="955" customHeight="1" ht="18.75">
      <c r="A955" s="2" t="s">
        <v>287</v>
      </c>
      <c r="B955" s="9" t="s">
        <v>612</v>
      </c>
      <c r="C955" s="2" t="s">
        <v>944</v>
      </c>
      <c r="D955" s="30" t="s">
        <v>154</v>
      </c>
    </row>
    <row x14ac:dyDescent="0.25" r="956" customHeight="1" ht="18.75">
      <c r="A956" s="2" t="s">
        <v>287</v>
      </c>
      <c r="B956" s="9" t="s">
        <v>612</v>
      </c>
      <c r="C956" s="2" t="s">
        <v>945</v>
      </c>
      <c r="D956" s="30" t="s">
        <v>227</v>
      </c>
    </row>
    <row x14ac:dyDescent="0.25" r="957" customHeight="1" ht="18.75">
      <c r="A957" s="2" t="s">
        <v>287</v>
      </c>
      <c r="B957" s="9" t="s">
        <v>398</v>
      </c>
      <c r="C957" s="2" t="s">
        <v>945</v>
      </c>
      <c r="D957" s="30" t="s">
        <v>154</v>
      </c>
    </row>
    <row x14ac:dyDescent="0.25" r="958" customHeight="1" ht="18.75">
      <c r="A958" s="2" t="s">
        <v>287</v>
      </c>
      <c r="B958" s="9" t="s">
        <v>612</v>
      </c>
      <c r="C958" s="2" t="s">
        <v>946</v>
      </c>
      <c r="D958" s="30" t="s">
        <v>227</v>
      </c>
    </row>
    <row x14ac:dyDescent="0.25" r="959" customHeight="1" ht="18.75">
      <c r="A959" s="2" t="s">
        <v>287</v>
      </c>
      <c r="B959" s="9" t="s">
        <v>398</v>
      </c>
      <c r="C959" s="2" t="s">
        <v>946</v>
      </c>
      <c r="D959" s="30" t="s">
        <v>154</v>
      </c>
    </row>
    <row x14ac:dyDescent="0.25" r="960" customHeight="1" ht="18.75">
      <c r="A960" s="2" t="s">
        <v>287</v>
      </c>
      <c r="B960" s="9" t="s">
        <v>612</v>
      </c>
      <c r="C960" s="2" t="s">
        <v>947</v>
      </c>
      <c r="D960" s="30" t="s">
        <v>227</v>
      </c>
    </row>
    <row x14ac:dyDescent="0.25" r="961" customHeight="1" ht="18.75">
      <c r="A961" s="2" t="s">
        <v>287</v>
      </c>
      <c r="B961" s="9" t="s">
        <v>398</v>
      </c>
      <c r="C961" s="2" t="s">
        <v>947</v>
      </c>
      <c r="D961" s="30" t="s">
        <v>154</v>
      </c>
    </row>
    <row x14ac:dyDescent="0.25" r="962" customHeight="1" ht="18.75">
      <c r="A962" s="2" t="s">
        <v>287</v>
      </c>
      <c r="B962" s="9" t="s">
        <v>346</v>
      </c>
      <c r="C962" s="2" t="s">
        <v>948</v>
      </c>
      <c r="D962" s="30" t="s">
        <v>154</v>
      </c>
    </row>
    <row x14ac:dyDescent="0.25" r="963" customHeight="1" ht="18.75">
      <c r="A963" s="2" t="s">
        <v>287</v>
      </c>
      <c r="B963" s="9" t="s">
        <v>288</v>
      </c>
      <c r="C963" s="2" t="s">
        <v>949</v>
      </c>
      <c r="D963" s="30" t="s">
        <v>173</v>
      </c>
    </row>
    <row x14ac:dyDescent="0.25" r="964" customHeight="1" ht="18.75">
      <c r="A964" s="2" t="s">
        <v>287</v>
      </c>
      <c r="B964" s="9" t="s">
        <v>313</v>
      </c>
      <c r="C964" s="2" t="s">
        <v>949</v>
      </c>
      <c r="D964" s="30" t="s">
        <v>227</v>
      </c>
    </row>
    <row x14ac:dyDescent="0.25" r="965" customHeight="1" ht="18.75">
      <c r="A965" s="2" t="s">
        <v>287</v>
      </c>
      <c r="B965" s="9" t="s">
        <v>336</v>
      </c>
      <c r="C965" s="2" t="s">
        <v>949</v>
      </c>
      <c r="D965" s="30" t="s">
        <v>154</v>
      </c>
    </row>
    <row x14ac:dyDescent="0.25" r="966" customHeight="1" ht="18.75">
      <c r="A966" s="2" t="s">
        <v>287</v>
      </c>
      <c r="B966" s="9" t="s">
        <v>288</v>
      </c>
      <c r="C966" s="2" t="s">
        <v>950</v>
      </c>
      <c r="D966" s="30" t="s">
        <v>173</v>
      </c>
    </row>
    <row x14ac:dyDescent="0.25" r="967" customHeight="1" ht="18.75">
      <c r="A967" s="2" t="s">
        <v>287</v>
      </c>
      <c r="B967" s="9" t="s">
        <v>366</v>
      </c>
      <c r="C967" s="2" t="s">
        <v>951</v>
      </c>
      <c r="D967" s="30" t="s">
        <v>227</v>
      </c>
    </row>
    <row x14ac:dyDescent="0.25" r="968" customHeight="1" ht="18.75">
      <c r="A968" s="2" t="s">
        <v>287</v>
      </c>
      <c r="B968" s="9" t="s">
        <v>304</v>
      </c>
      <c r="C968" s="2" t="s">
        <v>951</v>
      </c>
      <c r="D968" s="30" t="s">
        <v>173</v>
      </c>
    </row>
    <row x14ac:dyDescent="0.25" r="969" customHeight="1" ht="18.75">
      <c r="A969" s="2" t="s">
        <v>287</v>
      </c>
      <c r="B969" s="3" t="s">
        <v>612</v>
      </c>
      <c r="C969" s="2" t="s">
        <v>951</v>
      </c>
      <c r="D969" s="30" t="s">
        <v>154</v>
      </c>
    </row>
    <row x14ac:dyDescent="0.25" r="970" customHeight="1" ht="18.75">
      <c r="A970" s="2" t="s">
        <v>287</v>
      </c>
      <c r="B970" s="9" t="s">
        <v>398</v>
      </c>
      <c r="C970" s="2" t="s">
        <v>952</v>
      </c>
      <c r="D970" s="30" t="s">
        <v>154</v>
      </c>
    </row>
    <row x14ac:dyDescent="0.25" r="971" customHeight="1" ht="18.75">
      <c r="A971" s="2" t="s">
        <v>287</v>
      </c>
      <c r="B971" s="9" t="s">
        <v>402</v>
      </c>
      <c r="C971" s="2" t="s">
        <v>952</v>
      </c>
      <c r="D971" s="30" t="s">
        <v>173</v>
      </c>
    </row>
    <row x14ac:dyDescent="0.25" r="972" customHeight="1" ht="18.75">
      <c r="A972" s="2" t="s">
        <v>287</v>
      </c>
      <c r="B972" s="9" t="s">
        <v>304</v>
      </c>
      <c r="C972" s="2" t="s">
        <v>953</v>
      </c>
      <c r="D972" s="30" t="s">
        <v>173</v>
      </c>
    </row>
    <row x14ac:dyDescent="0.25" r="973" customHeight="1" ht="18.75">
      <c r="A973" s="2" t="s">
        <v>287</v>
      </c>
      <c r="B973" s="9" t="s">
        <v>560</v>
      </c>
      <c r="C973" s="2" t="s">
        <v>953</v>
      </c>
      <c r="D973" s="30" t="s">
        <v>286</v>
      </c>
    </row>
    <row x14ac:dyDescent="0.25" r="974" customHeight="1" ht="18.75">
      <c r="A974" s="2" t="s">
        <v>287</v>
      </c>
      <c r="B974" s="9" t="s">
        <v>290</v>
      </c>
      <c r="C974" s="2" t="s">
        <v>954</v>
      </c>
      <c r="D974" s="30" t="s">
        <v>227</v>
      </c>
    </row>
    <row x14ac:dyDescent="0.25" r="975" customHeight="1" ht="18.75">
      <c r="A975" s="2" t="s">
        <v>287</v>
      </c>
      <c r="B975" s="9" t="s">
        <v>292</v>
      </c>
      <c r="C975" s="2" t="s">
        <v>954</v>
      </c>
      <c r="D975" s="30" t="s">
        <v>154</v>
      </c>
    </row>
    <row x14ac:dyDescent="0.25" r="976" customHeight="1" ht="18.75">
      <c r="A976" s="2" t="s">
        <v>287</v>
      </c>
      <c r="B976" s="9" t="s">
        <v>560</v>
      </c>
      <c r="C976" s="2" t="s">
        <v>955</v>
      </c>
      <c r="D976" s="30" t="s">
        <v>227</v>
      </c>
    </row>
    <row x14ac:dyDescent="0.25" r="977" customHeight="1" ht="18.75">
      <c r="A977" s="2" t="s">
        <v>287</v>
      </c>
      <c r="B977" s="9" t="s">
        <v>394</v>
      </c>
      <c r="C977" s="2" t="s">
        <v>955</v>
      </c>
      <c r="D977" s="30" t="s">
        <v>154</v>
      </c>
    </row>
    <row x14ac:dyDescent="0.25" r="978" customHeight="1" ht="18.75">
      <c r="A978" s="2" t="s">
        <v>287</v>
      </c>
      <c r="B978" s="9" t="s">
        <v>413</v>
      </c>
      <c r="C978" s="2" t="s">
        <v>956</v>
      </c>
      <c r="D978" s="30" t="s">
        <v>173</v>
      </c>
    </row>
    <row x14ac:dyDescent="0.25" r="979" customHeight="1" ht="18.75">
      <c r="A979" s="2" t="s">
        <v>287</v>
      </c>
      <c r="B979" s="9" t="s">
        <v>309</v>
      </c>
      <c r="C979" s="2" t="s">
        <v>956</v>
      </c>
      <c r="D979" s="30" t="s">
        <v>154</v>
      </c>
    </row>
    <row x14ac:dyDescent="0.25" r="980" customHeight="1" ht="18.75">
      <c r="A980" s="2" t="s">
        <v>287</v>
      </c>
      <c r="B980" s="9" t="s">
        <v>818</v>
      </c>
      <c r="C980" s="2" t="s">
        <v>957</v>
      </c>
      <c r="D980" s="30" t="s">
        <v>173</v>
      </c>
    </row>
    <row x14ac:dyDescent="0.25" r="981" customHeight="1" ht="18.75">
      <c r="A981" s="2" t="s">
        <v>287</v>
      </c>
      <c r="B981" s="9" t="s">
        <v>346</v>
      </c>
      <c r="C981" s="2" t="s">
        <v>957</v>
      </c>
      <c r="D981" s="30" t="s">
        <v>286</v>
      </c>
    </row>
    <row x14ac:dyDescent="0.25" r="982" customHeight="1" ht="18.75">
      <c r="A982" s="2" t="s">
        <v>287</v>
      </c>
      <c r="B982" s="9" t="s">
        <v>398</v>
      </c>
      <c r="C982" s="2" t="s">
        <v>958</v>
      </c>
      <c r="D982" s="30" t="s">
        <v>154</v>
      </c>
    </row>
    <row x14ac:dyDescent="0.25" r="983" customHeight="1" ht="18.75">
      <c r="A983" s="2" t="s">
        <v>287</v>
      </c>
      <c r="B983" s="9" t="s">
        <v>402</v>
      </c>
      <c r="C983" s="2" t="s">
        <v>958</v>
      </c>
      <c r="D983" s="30" t="s">
        <v>173</v>
      </c>
    </row>
    <row x14ac:dyDescent="0.25" r="984" customHeight="1" ht="18.75">
      <c r="A984" s="2" t="s">
        <v>287</v>
      </c>
      <c r="B984" s="3" t="s">
        <v>560</v>
      </c>
      <c r="C984" s="2" t="s">
        <v>958</v>
      </c>
      <c r="D984" s="30" t="s">
        <v>154</v>
      </c>
    </row>
    <row x14ac:dyDescent="0.25" r="985" customHeight="1" ht="18.75">
      <c r="A985" s="2" t="s">
        <v>287</v>
      </c>
      <c r="B985" s="9" t="s">
        <v>612</v>
      </c>
      <c r="C985" s="2" t="s">
        <v>959</v>
      </c>
      <c r="D985" s="30" t="s">
        <v>227</v>
      </c>
    </row>
    <row x14ac:dyDescent="0.25" r="986" customHeight="1" ht="18.75">
      <c r="A986" s="2" t="s">
        <v>287</v>
      </c>
      <c r="B986" s="9" t="s">
        <v>398</v>
      </c>
      <c r="C986" s="2" t="s">
        <v>959</v>
      </c>
      <c r="D986" s="30" t="s">
        <v>154</v>
      </c>
    </row>
    <row x14ac:dyDescent="0.25" r="987" customHeight="1" ht="18.75">
      <c r="A987" s="2" t="s">
        <v>287</v>
      </c>
      <c r="B987" s="9" t="s">
        <v>343</v>
      </c>
      <c r="C987" s="2" t="s">
        <v>960</v>
      </c>
      <c r="D987" s="30" t="s">
        <v>227</v>
      </c>
    </row>
    <row x14ac:dyDescent="0.25" r="988" customHeight="1" ht="18.75">
      <c r="A988" s="2" t="s">
        <v>287</v>
      </c>
      <c r="B988" s="3" t="s">
        <v>402</v>
      </c>
      <c r="C988" s="2" t="s">
        <v>960</v>
      </c>
      <c r="D988" s="30" t="s">
        <v>154</v>
      </c>
    </row>
    <row x14ac:dyDescent="0.25" r="989" customHeight="1" ht="18.75">
      <c r="A989" s="2" t="s">
        <v>287</v>
      </c>
      <c r="B989" s="9" t="s">
        <v>818</v>
      </c>
      <c r="C989" s="2" t="s">
        <v>961</v>
      </c>
      <c r="D989" s="30" t="s">
        <v>173</v>
      </c>
    </row>
    <row x14ac:dyDescent="0.25" r="990" customHeight="1" ht="18.75">
      <c r="A990" s="2" t="s">
        <v>287</v>
      </c>
      <c r="B990" s="9" t="s">
        <v>346</v>
      </c>
      <c r="C990" s="2" t="s">
        <v>961</v>
      </c>
      <c r="D990" s="30" t="s">
        <v>154</v>
      </c>
    </row>
    <row x14ac:dyDescent="0.25" r="991" customHeight="1" ht="18.75">
      <c r="A991" s="2" t="s">
        <v>287</v>
      </c>
      <c r="B991" s="9" t="s">
        <v>875</v>
      </c>
      <c r="C991" s="2" t="s">
        <v>962</v>
      </c>
      <c r="D991" s="30" t="s">
        <v>173</v>
      </c>
    </row>
    <row x14ac:dyDescent="0.25" r="992" customHeight="1" ht="18.75">
      <c r="A992" s="2" t="s">
        <v>287</v>
      </c>
      <c r="B992" s="9" t="s">
        <v>612</v>
      </c>
      <c r="C992" s="2" t="s">
        <v>962</v>
      </c>
      <c r="D992" s="30" t="s">
        <v>286</v>
      </c>
    </row>
    <row x14ac:dyDescent="0.25" r="993" customHeight="1" ht="18.75">
      <c r="A993" s="2" t="s">
        <v>287</v>
      </c>
      <c r="B993" s="9" t="s">
        <v>304</v>
      </c>
      <c r="C993" s="2" t="s">
        <v>963</v>
      </c>
      <c r="D993" s="30" t="s">
        <v>173</v>
      </c>
    </row>
    <row x14ac:dyDescent="0.25" r="994" customHeight="1" ht="18.75">
      <c r="A994" s="2" t="s">
        <v>287</v>
      </c>
      <c r="B994" s="9" t="s">
        <v>560</v>
      </c>
      <c r="C994" s="2" t="s">
        <v>963</v>
      </c>
      <c r="D994" s="30" t="s">
        <v>154</v>
      </c>
    </row>
    <row x14ac:dyDescent="0.25" r="995" customHeight="1" ht="18.75">
      <c r="A995" s="2" t="s">
        <v>287</v>
      </c>
      <c r="B995" s="3" t="s">
        <v>799</v>
      </c>
      <c r="C995" s="2" t="s">
        <v>963</v>
      </c>
      <c r="D995" s="30" t="s">
        <v>173</v>
      </c>
    </row>
    <row x14ac:dyDescent="0.25" r="996" customHeight="1" ht="18.75">
      <c r="A996" s="2" t="s">
        <v>287</v>
      </c>
      <c r="B996" s="9" t="s">
        <v>309</v>
      </c>
      <c r="C996" s="2" t="s">
        <v>964</v>
      </c>
      <c r="D996" s="30" t="s">
        <v>173</v>
      </c>
    </row>
    <row x14ac:dyDescent="0.25" r="997" customHeight="1" ht="18.75">
      <c r="A997" s="2" t="s">
        <v>287</v>
      </c>
      <c r="B997" s="9" t="s">
        <v>304</v>
      </c>
      <c r="C997" s="2" t="s">
        <v>964</v>
      </c>
      <c r="D997" s="30" t="s">
        <v>154</v>
      </c>
    </row>
    <row x14ac:dyDescent="0.25" r="998" customHeight="1" ht="18.75">
      <c r="A998" s="2" t="s">
        <v>287</v>
      </c>
      <c r="B998" s="9" t="s">
        <v>364</v>
      </c>
      <c r="C998" s="2" t="s">
        <v>965</v>
      </c>
      <c r="D998" s="30" t="s">
        <v>173</v>
      </c>
    </row>
    <row x14ac:dyDescent="0.25" r="999" customHeight="1" ht="18.75">
      <c r="A999" s="2" t="s">
        <v>287</v>
      </c>
      <c r="B999" s="9" t="s">
        <v>560</v>
      </c>
      <c r="C999" s="2" t="s">
        <v>965</v>
      </c>
      <c r="D999" s="30" t="s">
        <v>153</v>
      </c>
    </row>
    <row x14ac:dyDescent="0.25" r="1000" customHeight="1" ht="18.75">
      <c r="A1000" s="2" t="s">
        <v>287</v>
      </c>
      <c r="B1000" s="9" t="s">
        <v>304</v>
      </c>
      <c r="C1000" s="2" t="s">
        <v>966</v>
      </c>
      <c r="D1000" s="30" t="s">
        <v>173</v>
      </c>
    </row>
    <row x14ac:dyDescent="0.25" r="1001" customHeight="1" ht="18.75">
      <c r="A1001" s="2" t="s">
        <v>287</v>
      </c>
      <c r="B1001" s="9" t="s">
        <v>560</v>
      </c>
      <c r="C1001" s="2" t="s">
        <v>966</v>
      </c>
      <c r="D1001" s="30" t="s">
        <v>227</v>
      </c>
    </row>
    <row x14ac:dyDescent="0.25" r="1002" customHeight="1" ht="18.75">
      <c r="A1002" s="2" t="s">
        <v>287</v>
      </c>
      <c r="B1002" s="3" t="s">
        <v>824</v>
      </c>
      <c r="C1002" s="2" t="s">
        <v>966</v>
      </c>
      <c r="D1002" s="30" t="s">
        <v>154</v>
      </c>
    </row>
    <row x14ac:dyDescent="0.25" r="1003" customHeight="1" ht="18.75">
      <c r="A1003" s="2" t="s">
        <v>287</v>
      </c>
      <c r="B1003" s="9" t="s">
        <v>875</v>
      </c>
      <c r="C1003" s="2" t="s">
        <v>967</v>
      </c>
      <c r="D1003" s="30" t="s">
        <v>173</v>
      </c>
    </row>
    <row x14ac:dyDescent="0.25" r="1004" customHeight="1" ht="18.75">
      <c r="A1004" s="2" t="s">
        <v>287</v>
      </c>
      <c r="B1004" s="9" t="s">
        <v>612</v>
      </c>
      <c r="C1004" s="2" t="s">
        <v>967</v>
      </c>
      <c r="D1004" s="30" t="s">
        <v>286</v>
      </c>
    </row>
    <row x14ac:dyDescent="0.25" r="1005" customHeight="1" ht="18.75">
      <c r="A1005" s="2" t="s">
        <v>287</v>
      </c>
      <c r="B1005" s="9" t="s">
        <v>700</v>
      </c>
      <c r="C1005" s="2" t="s">
        <v>968</v>
      </c>
      <c r="D1005" s="30" t="s">
        <v>173</v>
      </c>
    </row>
    <row x14ac:dyDescent="0.25" r="1006" customHeight="1" ht="18.75">
      <c r="A1006" s="2" t="s">
        <v>287</v>
      </c>
      <c r="B1006" s="9" t="s">
        <v>296</v>
      </c>
      <c r="C1006" s="2" t="s">
        <v>968</v>
      </c>
      <c r="D1006" s="30" t="s">
        <v>154</v>
      </c>
    </row>
    <row x14ac:dyDescent="0.25" r="1007" customHeight="1" ht="18.75">
      <c r="A1007" s="2" t="s">
        <v>287</v>
      </c>
      <c r="B1007" s="9" t="s">
        <v>612</v>
      </c>
      <c r="C1007" s="2" t="s">
        <v>969</v>
      </c>
      <c r="D1007" s="30" t="s">
        <v>227</v>
      </c>
    </row>
    <row x14ac:dyDescent="0.25" r="1008" customHeight="1" ht="18.75">
      <c r="A1008" s="2" t="s">
        <v>287</v>
      </c>
      <c r="B1008" s="9" t="s">
        <v>398</v>
      </c>
      <c r="C1008" s="2" t="s">
        <v>969</v>
      </c>
      <c r="D1008" s="30" t="s">
        <v>154</v>
      </c>
    </row>
    <row x14ac:dyDescent="0.25" r="1009" customHeight="1" ht="18.75">
      <c r="A1009" s="2" t="s">
        <v>287</v>
      </c>
      <c r="B1009" s="9" t="s">
        <v>875</v>
      </c>
      <c r="C1009" s="2" t="s">
        <v>970</v>
      </c>
      <c r="D1009" s="30" t="s">
        <v>173</v>
      </c>
    </row>
    <row x14ac:dyDescent="0.25" r="1010" customHeight="1" ht="18.75">
      <c r="A1010" s="2" t="s">
        <v>287</v>
      </c>
      <c r="B1010" s="9" t="s">
        <v>612</v>
      </c>
      <c r="C1010" s="2" t="s">
        <v>970</v>
      </c>
      <c r="D1010" s="30" t="s">
        <v>286</v>
      </c>
    </row>
    <row x14ac:dyDescent="0.25" r="1011" customHeight="1" ht="18.75">
      <c r="A1011" s="2" t="s">
        <v>287</v>
      </c>
      <c r="B1011" s="9" t="s">
        <v>612</v>
      </c>
      <c r="C1011" s="2" t="s">
        <v>971</v>
      </c>
      <c r="D1011" s="30" t="s">
        <v>227</v>
      </c>
    </row>
    <row x14ac:dyDescent="0.25" r="1012" customHeight="1" ht="18.75">
      <c r="A1012" s="2" t="s">
        <v>287</v>
      </c>
      <c r="B1012" s="9" t="s">
        <v>398</v>
      </c>
      <c r="C1012" s="2" t="s">
        <v>971</v>
      </c>
      <c r="D1012" s="30" t="s">
        <v>154</v>
      </c>
    </row>
    <row x14ac:dyDescent="0.25" r="1013" customHeight="1" ht="18.75">
      <c r="A1013" s="2" t="s">
        <v>287</v>
      </c>
      <c r="B1013" s="9" t="s">
        <v>612</v>
      </c>
      <c r="C1013" s="2" t="s">
        <v>972</v>
      </c>
      <c r="D1013" s="30" t="s">
        <v>227</v>
      </c>
    </row>
    <row x14ac:dyDescent="0.25" r="1014" customHeight="1" ht="18.75">
      <c r="A1014" s="2" t="s">
        <v>287</v>
      </c>
      <c r="B1014" s="9" t="s">
        <v>398</v>
      </c>
      <c r="C1014" s="2" t="s">
        <v>972</v>
      </c>
      <c r="D1014" s="30" t="s">
        <v>154</v>
      </c>
    </row>
    <row x14ac:dyDescent="0.25" r="1015" customHeight="1" ht="18.75">
      <c r="A1015" s="2" t="s">
        <v>287</v>
      </c>
      <c r="B1015" s="9" t="s">
        <v>818</v>
      </c>
      <c r="C1015" s="2" t="s">
        <v>973</v>
      </c>
      <c r="D1015" s="30" t="s">
        <v>173</v>
      </c>
    </row>
    <row x14ac:dyDescent="0.25" r="1016" customHeight="1" ht="18.75">
      <c r="A1016" s="2" t="s">
        <v>287</v>
      </c>
      <c r="B1016" s="9" t="s">
        <v>346</v>
      </c>
      <c r="C1016" s="2" t="s">
        <v>973</v>
      </c>
      <c r="D1016" s="30" t="s">
        <v>154</v>
      </c>
    </row>
    <row x14ac:dyDescent="0.25" r="1017" customHeight="1" ht="18.75">
      <c r="A1017" s="2" t="s">
        <v>287</v>
      </c>
      <c r="B1017" s="9" t="s">
        <v>302</v>
      </c>
      <c r="C1017" s="2" t="s">
        <v>974</v>
      </c>
      <c r="D1017" s="30" t="s">
        <v>173</v>
      </c>
    </row>
    <row x14ac:dyDescent="0.25" r="1018" customHeight="1" ht="18.75">
      <c r="A1018" s="2" t="s">
        <v>287</v>
      </c>
      <c r="B1018" s="9" t="s">
        <v>402</v>
      </c>
      <c r="C1018" s="2" t="s">
        <v>974</v>
      </c>
      <c r="D1018" s="30" t="s">
        <v>175</v>
      </c>
    </row>
    <row x14ac:dyDescent="0.25" r="1019" customHeight="1" ht="18.75">
      <c r="A1019" s="2" t="s">
        <v>287</v>
      </c>
      <c r="B1019" s="9" t="s">
        <v>366</v>
      </c>
      <c r="C1019" s="2" t="s">
        <v>975</v>
      </c>
      <c r="D1019" s="30" t="s">
        <v>227</v>
      </c>
    </row>
    <row x14ac:dyDescent="0.25" r="1020" customHeight="1" ht="18.75">
      <c r="A1020" s="2" t="s">
        <v>287</v>
      </c>
      <c r="B1020" s="9" t="s">
        <v>336</v>
      </c>
      <c r="C1020" s="2" t="s">
        <v>975</v>
      </c>
      <c r="D1020" s="30" t="s">
        <v>154</v>
      </c>
    </row>
    <row x14ac:dyDescent="0.25" r="1021" customHeight="1" ht="18.75">
      <c r="A1021" s="2" t="s">
        <v>287</v>
      </c>
      <c r="B1021" s="9" t="s">
        <v>304</v>
      </c>
      <c r="C1021" s="2" t="s">
        <v>976</v>
      </c>
      <c r="D1021" s="30" t="s">
        <v>173</v>
      </c>
    </row>
    <row x14ac:dyDescent="0.25" r="1022" customHeight="1" ht="18.75">
      <c r="A1022" s="2" t="s">
        <v>287</v>
      </c>
      <c r="B1022" s="9" t="s">
        <v>560</v>
      </c>
      <c r="C1022" s="2" t="s">
        <v>976</v>
      </c>
      <c r="D1022" s="30" t="s">
        <v>227</v>
      </c>
    </row>
    <row x14ac:dyDescent="0.25" r="1023" customHeight="1" ht="18.75">
      <c r="A1023" s="2" t="s">
        <v>287</v>
      </c>
      <c r="B1023" s="3" t="s">
        <v>626</v>
      </c>
      <c r="C1023" s="2" t="s">
        <v>976</v>
      </c>
      <c r="D1023" s="30" t="s">
        <v>154</v>
      </c>
    </row>
    <row x14ac:dyDescent="0.25" r="1024" customHeight="1" ht="18.75">
      <c r="A1024" s="2" t="s">
        <v>287</v>
      </c>
      <c r="B1024" s="9" t="s">
        <v>288</v>
      </c>
      <c r="C1024" s="2" t="s">
        <v>977</v>
      </c>
      <c r="D1024" s="30" t="s">
        <v>173</v>
      </c>
    </row>
    <row x14ac:dyDescent="0.25" r="1025" customHeight="1" ht="18.75">
      <c r="A1025" s="2" t="s">
        <v>287</v>
      </c>
      <c r="B1025" s="9" t="s">
        <v>336</v>
      </c>
      <c r="C1025" s="2" t="s">
        <v>977</v>
      </c>
      <c r="D1025" s="30" t="s">
        <v>154</v>
      </c>
    </row>
    <row x14ac:dyDescent="0.25" r="1026" customHeight="1" ht="18.75">
      <c r="A1026" s="2" t="s">
        <v>287</v>
      </c>
      <c r="B1026" s="9" t="s">
        <v>304</v>
      </c>
      <c r="C1026" s="2" t="s">
        <v>978</v>
      </c>
      <c r="D1026" s="30" t="s">
        <v>173</v>
      </c>
    </row>
    <row x14ac:dyDescent="0.25" r="1027" customHeight="1" ht="18.75">
      <c r="A1027" s="2" t="s">
        <v>287</v>
      </c>
      <c r="B1027" s="9" t="s">
        <v>560</v>
      </c>
      <c r="C1027" s="2" t="s">
        <v>978</v>
      </c>
      <c r="D1027" s="30" t="s">
        <v>227</v>
      </c>
    </row>
    <row x14ac:dyDescent="0.25" r="1028" customHeight="1" ht="18.75">
      <c r="A1028" s="2" t="s">
        <v>287</v>
      </c>
      <c r="B1028" s="3" t="s">
        <v>626</v>
      </c>
      <c r="C1028" s="2" t="s">
        <v>978</v>
      </c>
      <c r="D1028" s="30" t="s">
        <v>154</v>
      </c>
    </row>
    <row x14ac:dyDescent="0.25" r="1029" customHeight="1" ht="18.75">
      <c r="A1029" s="2" t="s">
        <v>287</v>
      </c>
      <c r="B1029" s="3" t="s">
        <v>824</v>
      </c>
      <c r="C1029" s="2" t="s">
        <v>978</v>
      </c>
      <c r="D1029" s="30" t="s">
        <v>173</v>
      </c>
    </row>
    <row x14ac:dyDescent="0.25" r="1030" customHeight="1" ht="18.75">
      <c r="A1030" s="2" t="s">
        <v>287</v>
      </c>
      <c r="B1030" s="9" t="s">
        <v>612</v>
      </c>
      <c r="C1030" s="2" t="s">
        <v>979</v>
      </c>
      <c r="D1030" s="30" t="s">
        <v>227</v>
      </c>
    </row>
    <row x14ac:dyDescent="0.25" r="1031" customHeight="1" ht="18.75">
      <c r="A1031" s="2" t="s">
        <v>287</v>
      </c>
      <c r="B1031" s="9" t="s">
        <v>304</v>
      </c>
      <c r="C1031" s="2" t="s">
        <v>979</v>
      </c>
      <c r="D1031" s="30" t="s">
        <v>154</v>
      </c>
    </row>
    <row x14ac:dyDescent="0.25" r="1032" customHeight="1" ht="18.75">
      <c r="A1032" s="2" t="s">
        <v>287</v>
      </c>
      <c r="B1032" s="9" t="s">
        <v>288</v>
      </c>
      <c r="C1032" s="2" t="s">
        <v>980</v>
      </c>
      <c r="D1032" s="30" t="s">
        <v>173</v>
      </c>
    </row>
    <row x14ac:dyDescent="0.25" r="1033" customHeight="1" ht="18.75">
      <c r="A1033" s="2" t="s">
        <v>287</v>
      </c>
      <c r="B1033" s="9" t="s">
        <v>336</v>
      </c>
      <c r="C1033" s="2" t="s">
        <v>980</v>
      </c>
      <c r="D1033" s="30" t="s">
        <v>155</v>
      </c>
    </row>
    <row x14ac:dyDescent="0.25" r="1034" customHeight="1" ht="18.75">
      <c r="A1034" s="2" t="s">
        <v>287</v>
      </c>
      <c r="B1034" s="9" t="s">
        <v>612</v>
      </c>
      <c r="C1034" s="2" t="s">
        <v>981</v>
      </c>
      <c r="D1034" s="30" t="s">
        <v>227</v>
      </c>
    </row>
    <row x14ac:dyDescent="0.25" r="1035" customHeight="1" ht="18.75">
      <c r="A1035" s="2" t="s">
        <v>287</v>
      </c>
      <c r="B1035" s="9" t="s">
        <v>315</v>
      </c>
      <c r="C1035" s="2" t="s">
        <v>981</v>
      </c>
      <c r="D1035" s="30" t="s">
        <v>154</v>
      </c>
    </row>
    <row x14ac:dyDescent="0.25" r="1036" customHeight="1" ht="18.75">
      <c r="A1036" s="2" t="s">
        <v>287</v>
      </c>
      <c r="B1036" s="9" t="s">
        <v>875</v>
      </c>
      <c r="C1036" s="2" t="s">
        <v>982</v>
      </c>
      <c r="D1036" s="30" t="s">
        <v>173</v>
      </c>
    </row>
    <row x14ac:dyDescent="0.25" r="1037" customHeight="1" ht="18.75">
      <c r="A1037" s="2" t="s">
        <v>287</v>
      </c>
      <c r="B1037" s="9" t="s">
        <v>612</v>
      </c>
      <c r="C1037" s="2" t="s">
        <v>982</v>
      </c>
      <c r="D1037" s="30" t="s">
        <v>227</v>
      </c>
    </row>
    <row x14ac:dyDescent="0.25" r="1038" customHeight="1" ht="18.75">
      <c r="A1038" s="2" t="s">
        <v>287</v>
      </c>
      <c r="B1038" s="3" t="s">
        <v>402</v>
      </c>
      <c r="C1038" s="33" t="s">
        <v>982</v>
      </c>
      <c r="D1038" s="30" t="s">
        <v>154</v>
      </c>
    </row>
    <row x14ac:dyDescent="0.25" r="1039" customHeight="1" ht="18.75">
      <c r="A1039" s="2" t="s">
        <v>287</v>
      </c>
      <c r="B1039" s="9" t="s">
        <v>309</v>
      </c>
      <c r="C1039" s="2" t="s">
        <v>983</v>
      </c>
      <c r="D1039" s="30" t="s">
        <v>173</v>
      </c>
    </row>
    <row x14ac:dyDescent="0.25" r="1040" customHeight="1" ht="18.75">
      <c r="A1040" s="2" t="s">
        <v>287</v>
      </c>
      <c r="B1040" s="9" t="s">
        <v>560</v>
      </c>
      <c r="C1040" s="2" t="s">
        <v>983</v>
      </c>
      <c r="D1040" s="30" t="s">
        <v>227</v>
      </c>
    </row>
    <row x14ac:dyDescent="0.25" r="1041" customHeight="1" ht="18.75">
      <c r="A1041" s="2" t="s">
        <v>287</v>
      </c>
      <c r="B1041" s="3" t="s">
        <v>626</v>
      </c>
      <c r="C1041" s="2" t="s">
        <v>983</v>
      </c>
      <c r="D1041" s="30" t="s">
        <v>154</v>
      </c>
    </row>
    <row x14ac:dyDescent="0.25" r="1042" customHeight="1" ht="18.75">
      <c r="A1042" s="2" t="s">
        <v>287</v>
      </c>
      <c r="B1042" s="9" t="s">
        <v>398</v>
      </c>
      <c r="C1042" s="2" t="s">
        <v>984</v>
      </c>
      <c r="D1042" s="30" t="s">
        <v>173</v>
      </c>
    </row>
    <row x14ac:dyDescent="0.25" r="1043" customHeight="1" ht="18.75">
      <c r="A1043" s="2" t="s">
        <v>287</v>
      </c>
      <c r="B1043" s="9" t="s">
        <v>612</v>
      </c>
      <c r="C1043" s="2" t="s">
        <v>984</v>
      </c>
      <c r="D1043" s="30" t="s">
        <v>175</v>
      </c>
    </row>
    <row x14ac:dyDescent="0.25" r="1044" customHeight="1" ht="18.75">
      <c r="A1044" s="2" t="s">
        <v>287</v>
      </c>
      <c r="B1044" s="9" t="s">
        <v>304</v>
      </c>
      <c r="C1044" s="2" t="s">
        <v>985</v>
      </c>
      <c r="D1044" s="30" t="s">
        <v>173</v>
      </c>
    </row>
    <row x14ac:dyDescent="0.25" r="1045" customHeight="1" ht="18.75">
      <c r="A1045" s="2" t="s">
        <v>287</v>
      </c>
      <c r="B1045" s="9" t="s">
        <v>560</v>
      </c>
      <c r="C1045" s="2" t="s">
        <v>985</v>
      </c>
      <c r="D1045" s="30" t="s">
        <v>227</v>
      </c>
    </row>
    <row x14ac:dyDescent="0.25" r="1046" customHeight="1" ht="18.75">
      <c r="A1046" s="2" t="s">
        <v>287</v>
      </c>
      <c r="B1046" s="3" t="s">
        <v>824</v>
      </c>
      <c r="C1046" s="2" t="s">
        <v>985</v>
      </c>
      <c r="D1046" s="30" t="s">
        <v>154</v>
      </c>
    </row>
    <row x14ac:dyDescent="0.25" r="1047" customHeight="1" ht="18.75">
      <c r="A1047" s="2" t="s">
        <v>287</v>
      </c>
      <c r="B1047" s="9" t="s">
        <v>304</v>
      </c>
      <c r="C1047" s="2" t="s">
        <v>986</v>
      </c>
      <c r="D1047" s="30" t="s">
        <v>173</v>
      </c>
    </row>
    <row x14ac:dyDescent="0.25" r="1048" customHeight="1" ht="18.75">
      <c r="A1048" s="2" t="s">
        <v>287</v>
      </c>
      <c r="B1048" s="9" t="s">
        <v>560</v>
      </c>
      <c r="C1048" s="2" t="s">
        <v>986</v>
      </c>
      <c r="D1048" s="30" t="s">
        <v>227</v>
      </c>
    </row>
    <row x14ac:dyDescent="0.25" r="1049" customHeight="1" ht="18.75">
      <c r="A1049" s="2" t="s">
        <v>287</v>
      </c>
      <c r="B1049" s="3" t="s">
        <v>824</v>
      </c>
      <c r="C1049" s="2" t="s">
        <v>986</v>
      </c>
      <c r="D1049" s="30" t="s">
        <v>154</v>
      </c>
    </row>
    <row x14ac:dyDescent="0.25" r="1050" customHeight="1" ht="18.75">
      <c r="A1050" s="2" t="s">
        <v>287</v>
      </c>
      <c r="B1050" s="9" t="s">
        <v>394</v>
      </c>
      <c r="C1050" s="2" t="s">
        <v>987</v>
      </c>
      <c r="D1050" s="30" t="s">
        <v>173</v>
      </c>
    </row>
    <row x14ac:dyDescent="0.25" r="1051" customHeight="1" ht="18.75">
      <c r="A1051" s="2" t="s">
        <v>287</v>
      </c>
      <c r="B1051" s="9" t="s">
        <v>560</v>
      </c>
      <c r="C1051" s="2" t="s">
        <v>987</v>
      </c>
      <c r="D1051" s="30" t="s">
        <v>154</v>
      </c>
    </row>
    <row x14ac:dyDescent="0.25" r="1052" customHeight="1" ht="18.75">
      <c r="A1052" s="2" t="s">
        <v>287</v>
      </c>
      <c r="B1052" s="3" t="s">
        <v>799</v>
      </c>
      <c r="C1052" s="2" t="s">
        <v>987</v>
      </c>
      <c r="D1052" s="30" t="s">
        <v>173</v>
      </c>
    </row>
    <row x14ac:dyDescent="0.25" r="1053" customHeight="1" ht="18.75">
      <c r="A1053" s="2" t="s">
        <v>287</v>
      </c>
      <c r="B1053" s="9" t="s">
        <v>875</v>
      </c>
      <c r="C1053" s="2" t="s">
        <v>988</v>
      </c>
      <c r="D1053" s="30" t="s">
        <v>173</v>
      </c>
    </row>
    <row x14ac:dyDescent="0.25" r="1054" customHeight="1" ht="18.75">
      <c r="A1054" s="2" t="s">
        <v>287</v>
      </c>
      <c r="B1054" s="9" t="s">
        <v>612</v>
      </c>
      <c r="C1054" s="2" t="s">
        <v>988</v>
      </c>
      <c r="D1054" s="30" t="s">
        <v>155</v>
      </c>
    </row>
    <row x14ac:dyDescent="0.25" r="1055" customHeight="1" ht="18.75">
      <c r="A1055" s="2" t="s">
        <v>287</v>
      </c>
      <c r="B1055" s="9" t="s">
        <v>288</v>
      </c>
      <c r="C1055" s="2" t="s">
        <v>989</v>
      </c>
      <c r="D1055" s="30" t="s">
        <v>173</v>
      </c>
    </row>
    <row x14ac:dyDescent="0.25" r="1056" customHeight="1" ht="18.75">
      <c r="A1056" s="2" t="s">
        <v>287</v>
      </c>
      <c r="B1056" s="9" t="s">
        <v>336</v>
      </c>
      <c r="C1056" s="2" t="s">
        <v>989</v>
      </c>
      <c r="D1056" s="30" t="s">
        <v>173</v>
      </c>
    </row>
    <row x14ac:dyDescent="0.25" r="1057" customHeight="1" ht="18.75">
      <c r="A1057" s="2" t="s">
        <v>287</v>
      </c>
      <c r="B1057" s="9" t="s">
        <v>304</v>
      </c>
      <c r="C1057" s="2" t="s">
        <v>990</v>
      </c>
      <c r="D1057" s="30" t="s">
        <v>227</v>
      </c>
    </row>
    <row x14ac:dyDescent="0.25" r="1058" customHeight="1" ht="18.75">
      <c r="A1058" s="2" t="s">
        <v>287</v>
      </c>
      <c r="B1058" s="9" t="s">
        <v>421</v>
      </c>
      <c r="C1058" s="2" t="s">
        <v>990</v>
      </c>
      <c r="D1058" s="30" t="s">
        <v>154</v>
      </c>
    </row>
    <row x14ac:dyDescent="0.25" r="1059" customHeight="1" ht="18.75">
      <c r="A1059" s="2" t="s">
        <v>287</v>
      </c>
      <c r="B1059" s="9" t="s">
        <v>791</v>
      </c>
      <c r="C1059" s="2" t="s">
        <v>991</v>
      </c>
      <c r="D1059" s="30" t="s">
        <v>154</v>
      </c>
    </row>
    <row x14ac:dyDescent="0.25" r="1060" customHeight="1" ht="18.75">
      <c r="A1060" s="2" t="s">
        <v>287</v>
      </c>
      <c r="B1060" s="3" t="s">
        <v>612</v>
      </c>
      <c r="C1060" s="2" t="s">
        <v>991</v>
      </c>
      <c r="D1060" s="30" t="s">
        <v>173</v>
      </c>
    </row>
    <row x14ac:dyDescent="0.25" r="1061" customHeight="1" ht="18.75">
      <c r="A1061" s="2" t="s">
        <v>287</v>
      </c>
      <c r="B1061" s="9" t="s">
        <v>315</v>
      </c>
      <c r="C1061" s="2" t="s">
        <v>992</v>
      </c>
      <c r="D1061" s="30" t="s">
        <v>173</v>
      </c>
    </row>
    <row x14ac:dyDescent="0.25" r="1062" customHeight="1" ht="18.75">
      <c r="A1062" s="2" t="s">
        <v>287</v>
      </c>
      <c r="B1062" s="9" t="s">
        <v>612</v>
      </c>
      <c r="C1062" s="2" t="s">
        <v>992</v>
      </c>
      <c r="D1062" s="30" t="s">
        <v>154</v>
      </c>
    </row>
    <row x14ac:dyDescent="0.25" r="1063" customHeight="1" ht="18.75">
      <c r="A1063" s="2" t="s">
        <v>287</v>
      </c>
      <c r="B1063" s="9" t="s">
        <v>612</v>
      </c>
      <c r="C1063" s="2" t="s">
        <v>993</v>
      </c>
      <c r="D1063" s="30" t="s">
        <v>227</v>
      </c>
    </row>
    <row x14ac:dyDescent="0.25" r="1064" customHeight="1" ht="18.75">
      <c r="A1064" s="2" t="s">
        <v>287</v>
      </c>
      <c r="B1064" s="9" t="s">
        <v>398</v>
      </c>
      <c r="C1064" s="2" t="s">
        <v>993</v>
      </c>
      <c r="D1064" s="30" t="s">
        <v>154</v>
      </c>
    </row>
    <row x14ac:dyDescent="0.25" r="1065" customHeight="1" ht="18.75">
      <c r="A1065" s="2" t="s">
        <v>287</v>
      </c>
      <c r="B1065" s="9" t="s">
        <v>315</v>
      </c>
      <c r="C1065" s="2" t="s">
        <v>994</v>
      </c>
      <c r="D1065" s="30" t="s">
        <v>227</v>
      </c>
    </row>
    <row x14ac:dyDescent="0.25" r="1066" customHeight="1" ht="18.75">
      <c r="A1066" s="2" t="s">
        <v>287</v>
      </c>
      <c r="B1066" s="3" t="s">
        <v>612</v>
      </c>
      <c r="C1066" s="2" t="s">
        <v>994</v>
      </c>
      <c r="D1066" s="30" t="s">
        <v>154</v>
      </c>
    </row>
    <row x14ac:dyDescent="0.25" r="1067" customHeight="1" ht="18.75">
      <c r="A1067" s="2" t="s">
        <v>287</v>
      </c>
      <c r="B1067" s="9" t="s">
        <v>304</v>
      </c>
      <c r="C1067" s="2" t="s">
        <v>995</v>
      </c>
      <c r="D1067" s="30" t="s">
        <v>173</v>
      </c>
    </row>
    <row x14ac:dyDescent="0.25" r="1068" customHeight="1" ht="18.75">
      <c r="A1068" s="2" t="s">
        <v>287</v>
      </c>
      <c r="B1068" s="9" t="s">
        <v>560</v>
      </c>
      <c r="C1068" s="2" t="s">
        <v>995</v>
      </c>
      <c r="D1068" s="30" t="s">
        <v>227</v>
      </c>
    </row>
    <row x14ac:dyDescent="0.25" r="1069" customHeight="1" ht="18.75">
      <c r="A1069" s="2" t="s">
        <v>287</v>
      </c>
      <c r="B1069" s="3" t="s">
        <v>626</v>
      </c>
      <c r="C1069" s="2" t="s">
        <v>995</v>
      </c>
      <c r="D1069" s="30" t="s">
        <v>154</v>
      </c>
    </row>
    <row x14ac:dyDescent="0.25" r="1070" customHeight="1" ht="18.75">
      <c r="A1070" s="2" t="s">
        <v>287</v>
      </c>
      <c r="B1070" s="9" t="s">
        <v>304</v>
      </c>
      <c r="C1070" s="2" t="s">
        <v>996</v>
      </c>
      <c r="D1070" s="30" t="s">
        <v>173</v>
      </c>
    </row>
    <row x14ac:dyDescent="0.25" r="1071" customHeight="1" ht="18.75">
      <c r="A1071" s="2" t="s">
        <v>287</v>
      </c>
      <c r="B1071" s="9" t="s">
        <v>560</v>
      </c>
      <c r="C1071" s="2" t="s">
        <v>996</v>
      </c>
      <c r="D1071" s="30" t="s">
        <v>227</v>
      </c>
    </row>
    <row x14ac:dyDescent="0.25" r="1072" customHeight="1" ht="18.75">
      <c r="A1072" s="2" t="s">
        <v>287</v>
      </c>
      <c r="B1072" s="3" t="s">
        <v>626</v>
      </c>
      <c r="C1072" s="2" t="s">
        <v>996</v>
      </c>
      <c r="D1072" s="30" t="s">
        <v>154</v>
      </c>
    </row>
    <row x14ac:dyDescent="0.25" r="1073" customHeight="1" ht="18.75">
      <c r="A1073" s="2" t="s">
        <v>287</v>
      </c>
      <c r="B1073" s="9" t="s">
        <v>315</v>
      </c>
      <c r="C1073" s="2" t="s">
        <v>997</v>
      </c>
      <c r="D1073" s="30" t="s">
        <v>173</v>
      </c>
    </row>
    <row x14ac:dyDescent="0.25" r="1074" customHeight="1" ht="18.75">
      <c r="A1074" s="2" t="s">
        <v>287</v>
      </c>
      <c r="B1074" s="9" t="s">
        <v>407</v>
      </c>
      <c r="C1074" s="2" t="s">
        <v>997</v>
      </c>
      <c r="D1074" s="30" t="s">
        <v>154</v>
      </c>
    </row>
    <row x14ac:dyDescent="0.25" r="1075" customHeight="1" ht="18.75">
      <c r="A1075" s="2" t="s">
        <v>287</v>
      </c>
      <c r="B1075" s="9" t="s">
        <v>612</v>
      </c>
      <c r="C1075" s="2" t="s">
        <v>998</v>
      </c>
      <c r="D1075" s="30" t="s">
        <v>227</v>
      </c>
    </row>
    <row x14ac:dyDescent="0.25" r="1076" customHeight="1" ht="18.75">
      <c r="A1076" s="2" t="s">
        <v>287</v>
      </c>
      <c r="B1076" s="9" t="s">
        <v>315</v>
      </c>
      <c r="C1076" s="2" t="s">
        <v>998</v>
      </c>
      <c r="D1076" s="30" t="s">
        <v>154</v>
      </c>
    </row>
    <row x14ac:dyDescent="0.25" r="1077" customHeight="1" ht="18.75">
      <c r="A1077" s="2" t="s">
        <v>287</v>
      </c>
      <c r="B1077" s="32" t="s">
        <v>402</v>
      </c>
      <c r="C1077" s="33" t="s">
        <v>999</v>
      </c>
      <c r="D1077" s="30" t="s">
        <v>1000</v>
      </c>
    </row>
    <row x14ac:dyDescent="0.25" r="1078" customHeight="1" ht="18.75">
      <c r="A1078" s="2" t="s">
        <v>287</v>
      </c>
      <c r="B1078" s="9" t="s">
        <v>402</v>
      </c>
      <c r="C1078" s="2" t="s">
        <v>1001</v>
      </c>
      <c r="D1078" s="30" t="s">
        <v>227</v>
      </c>
    </row>
    <row x14ac:dyDescent="0.25" r="1079" customHeight="1" ht="18.75">
      <c r="A1079" s="2" t="s">
        <v>287</v>
      </c>
      <c r="B1079" s="3" t="s">
        <v>322</v>
      </c>
      <c r="C1079" s="33" t="s">
        <v>1001</v>
      </c>
      <c r="D1079" s="30" t="s">
        <v>154</v>
      </c>
    </row>
    <row x14ac:dyDescent="0.25" r="1080" customHeight="1" ht="18.75">
      <c r="A1080" s="2" t="s">
        <v>287</v>
      </c>
      <c r="B1080" s="9" t="s">
        <v>302</v>
      </c>
      <c r="C1080" s="2" t="s">
        <v>1002</v>
      </c>
      <c r="D1080" s="30" t="s">
        <v>173</v>
      </c>
    </row>
    <row x14ac:dyDescent="0.25" r="1081" customHeight="1" ht="18.75">
      <c r="A1081" s="2" t="s">
        <v>287</v>
      </c>
      <c r="B1081" s="9" t="s">
        <v>402</v>
      </c>
      <c r="C1081" s="2" t="s">
        <v>1002</v>
      </c>
      <c r="D1081" s="30" t="s">
        <v>152</v>
      </c>
    </row>
    <row x14ac:dyDescent="0.25" r="1082" customHeight="1" ht="18.75">
      <c r="A1082" s="2" t="s">
        <v>287</v>
      </c>
      <c r="B1082" s="9" t="s">
        <v>304</v>
      </c>
      <c r="C1082" s="2" t="s">
        <v>1003</v>
      </c>
      <c r="D1082" s="30" t="s">
        <v>173</v>
      </c>
    </row>
    <row x14ac:dyDescent="0.25" r="1083" customHeight="1" ht="18.75">
      <c r="A1083" s="2" t="s">
        <v>287</v>
      </c>
      <c r="B1083" s="9" t="s">
        <v>560</v>
      </c>
      <c r="C1083" s="2" t="s">
        <v>1003</v>
      </c>
      <c r="D1083" s="30" t="s">
        <v>227</v>
      </c>
    </row>
    <row x14ac:dyDescent="0.25" r="1084" customHeight="1" ht="18.75">
      <c r="A1084" s="2" t="s">
        <v>287</v>
      </c>
      <c r="B1084" s="3" t="s">
        <v>824</v>
      </c>
      <c r="C1084" s="2" t="s">
        <v>1003</v>
      </c>
      <c r="D1084" s="30" t="s">
        <v>154</v>
      </c>
    </row>
    <row x14ac:dyDescent="0.25" r="1085" customHeight="1" ht="18.75">
      <c r="A1085" s="2" t="s">
        <v>287</v>
      </c>
      <c r="B1085" s="9" t="s">
        <v>421</v>
      </c>
      <c r="C1085" s="2" t="s">
        <v>1004</v>
      </c>
      <c r="D1085" s="30" t="s">
        <v>154</v>
      </c>
    </row>
    <row x14ac:dyDescent="0.25" r="1086" customHeight="1" ht="18.75">
      <c r="A1086" s="2" t="s">
        <v>287</v>
      </c>
      <c r="B1086" s="3" t="s">
        <v>612</v>
      </c>
      <c r="C1086" s="2" t="s">
        <v>1004</v>
      </c>
      <c r="D1086" s="30" t="s">
        <v>173</v>
      </c>
    </row>
    <row x14ac:dyDescent="0.25" r="1087" customHeight="1" ht="18.75">
      <c r="A1087" s="2" t="s">
        <v>287</v>
      </c>
      <c r="B1087" s="9" t="s">
        <v>394</v>
      </c>
      <c r="C1087" s="2" t="s">
        <v>1005</v>
      </c>
      <c r="D1087" s="30" t="s">
        <v>173</v>
      </c>
    </row>
    <row x14ac:dyDescent="0.25" r="1088" customHeight="1" ht="18.75">
      <c r="A1088" s="2" t="s">
        <v>287</v>
      </c>
      <c r="B1088" s="9" t="s">
        <v>560</v>
      </c>
      <c r="C1088" s="2" t="s">
        <v>1005</v>
      </c>
      <c r="D1088" s="30" t="s">
        <v>286</v>
      </c>
    </row>
    <row x14ac:dyDescent="0.25" r="1089" customHeight="1" ht="18.75">
      <c r="A1089" s="2" t="s">
        <v>287</v>
      </c>
      <c r="B1089" s="9" t="s">
        <v>612</v>
      </c>
      <c r="C1089" s="2" t="s">
        <v>1006</v>
      </c>
      <c r="D1089" s="30" t="s">
        <v>227</v>
      </c>
    </row>
    <row x14ac:dyDescent="0.25" r="1090" customHeight="1" ht="18.75">
      <c r="A1090" s="2" t="s">
        <v>287</v>
      </c>
      <c r="B1090" s="9" t="s">
        <v>398</v>
      </c>
      <c r="C1090" s="2" t="s">
        <v>1006</v>
      </c>
      <c r="D1090" s="30" t="s">
        <v>154</v>
      </c>
    </row>
    <row x14ac:dyDescent="0.25" r="1091" customHeight="1" ht="18.75">
      <c r="A1091" s="2" t="s">
        <v>287</v>
      </c>
      <c r="B1091" s="9" t="s">
        <v>304</v>
      </c>
      <c r="C1091" s="2" t="s">
        <v>1007</v>
      </c>
      <c r="D1091" s="30" t="s">
        <v>173</v>
      </c>
    </row>
    <row x14ac:dyDescent="0.25" r="1092" customHeight="1" ht="18.75">
      <c r="A1092" s="2" t="s">
        <v>287</v>
      </c>
      <c r="B1092" s="9" t="s">
        <v>560</v>
      </c>
      <c r="C1092" s="2" t="s">
        <v>1007</v>
      </c>
      <c r="D1092" s="30" t="s">
        <v>227</v>
      </c>
    </row>
    <row x14ac:dyDescent="0.25" r="1093" customHeight="1" ht="18.75">
      <c r="A1093" s="2" t="s">
        <v>287</v>
      </c>
      <c r="B1093" s="3" t="s">
        <v>824</v>
      </c>
      <c r="C1093" s="2" t="s">
        <v>1007</v>
      </c>
      <c r="D1093" s="30" t="s">
        <v>154</v>
      </c>
    </row>
    <row x14ac:dyDescent="0.25" r="1094" customHeight="1" ht="18.75">
      <c r="A1094" s="2" t="s">
        <v>287</v>
      </c>
      <c r="B1094" s="9" t="s">
        <v>398</v>
      </c>
      <c r="C1094" s="2" t="s">
        <v>1008</v>
      </c>
      <c r="D1094" s="30" t="s">
        <v>173</v>
      </c>
    </row>
    <row x14ac:dyDescent="0.25" r="1095" customHeight="1" ht="18.75">
      <c r="A1095" s="2" t="s">
        <v>287</v>
      </c>
      <c r="B1095" s="9" t="s">
        <v>560</v>
      </c>
      <c r="C1095" s="2" t="s">
        <v>1008</v>
      </c>
      <c r="D1095" s="30" t="s">
        <v>227</v>
      </c>
    </row>
    <row x14ac:dyDescent="0.25" r="1096" customHeight="1" ht="18.75">
      <c r="A1096" s="2" t="s">
        <v>287</v>
      </c>
      <c r="B1096" s="3" t="s">
        <v>626</v>
      </c>
      <c r="C1096" s="2" t="s">
        <v>1008</v>
      </c>
      <c r="D1096" s="30" t="s">
        <v>154</v>
      </c>
    </row>
    <row x14ac:dyDescent="0.25" r="1097" customHeight="1" ht="18.75">
      <c r="A1097" s="2" t="s">
        <v>287</v>
      </c>
      <c r="B1097" s="9" t="s">
        <v>315</v>
      </c>
      <c r="C1097" s="2" t="s">
        <v>1009</v>
      </c>
      <c r="D1097" s="30" t="s">
        <v>173</v>
      </c>
    </row>
    <row x14ac:dyDescent="0.25" r="1098" customHeight="1" ht="18.75">
      <c r="A1098" s="2" t="s">
        <v>287</v>
      </c>
      <c r="B1098" s="9" t="s">
        <v>560</v>
      </c>
      <c r="C1098" s="2" t="s">
        <v>1009</v>
      </c>
      <c r="D1098" s="30" t="s">
        <v>208</v>
      </c>
    </row>
    <row x14ac:dyDescent="0.25" r="1099" customHeight="1" ht="18.75">
      <c r="A1099" s="2" t="s">
        <v>287</v>
      </c>
      <c r="B1099" s="9" t="s">
        <v>304</v>
      </c>
      <c r="C1099" s="2" t="s">
        <v>1010</v>
      </c>
      <c r="D1099" s="30" t="s">
        <v>173</v>
      </c>
    </row>
    <row x14ac:dyDescent="0.25" r="1100" customHeight="1" ht="18.75">
      <c r="A1100" s="2" t="s">
        <v>287</v>
      </c>
      <c r="B1100" s="9" t="s">
        <v>560</v>
      </c>
      <c r="C1100" s="2" t="s">
        <v>1010</v>
      </c>
      <c r="D1100" s="30" t="s">
        <v>227</v>
      </c>
    </row>
    <row x14ac:dyDescent="0.25" r="1101" customHeight="1" ht="18.75">
      <c r="A1101" s="2" t="s">
        <v>287</v>
      </c>
      <c r="B1101" s="3" t="s">
        <v>626</v>
      </c>
      <c r="C1101" s="2" t="s">
        <v>1010</v>
      </c>
      <c r="D1101" s="30" t="s">
        <v>154</v>
      </c>
    </row>
    <row x14ac:dyDescent="0.25" r="1102" customHeight="1" ht="18.75">
      <c r="A1102" s="2" t="s">
        <v>287</v>
      </c>
      <c r="B1102" s="9" t="s">
        <v>421</v>
      </c>
      <c r="C1102" s="2" t="s">
        <v>228</v>
      </c>
      <c r="D1102" s="30" t="s">
        <v>173</v>
      </c>
    </row>
    <row x14ac:dyDescent="0.25" r="1103" customHeight="1" ht="18.75">
      <c r="A1103" s="2" t="s">
        <v>287</v>
      </c>
      <c r="B1103" s="3" t="s">
        <v>421</v>
      </c>
      <c r="C1103" s="2" t="s">
        <v>231</v>
      </c>
      <c r="D1103" s="30" t="s">
        <v>173</v>
      </c>
    </row>
    <row x14ac:dyDescent="0.25" r="1104" customHeight="1" ht="18.75">
      <c r="A1104" s="2" t="s">
        <v>287</v>
      </c>
      <c r="B1104" s="3" t="s">
        <v>421</v>
      </c>
      <c r="C1104" s="2" t="s">
        <v>230</v>
      </c>
      <c r="D1104" s="30" t="s">
        <v>173</v>
      </c>
    </row>
    <row x14ac:dyDescent="0.25" r="1105" customHeight="1" ht="18.75">
      <c r="A1105" s="2" t="s">
        <v>287</v>
      </c>
      <c r="B1105" s="3" t="s">
        <v>309</v>
      </c>
      <c r="C1105" s="2" t="s">
        <v>228</v>
      </c>
      <c r="D1105" s="30" t="s">
        <v>173</v>
      </c>
    </row>
    <row x14ac:dyDescent="0.25" r="1106" customHeight="1" ht="18.75">
      <c r="A1106" s="2" t="s">
        <v>287</v>
      </c>
      <c r="B1106" s="3" t="s">
        <v>799</v>
      </c>
      <c r="C1106" s="2" t="s">
        <v>228</v>
      </c>
      <c r="D1106" s="30" t="s">
        <v>152</v>
      </c>
    </row>
    <row x14ac:dyDescent="0.25" r="1107" customHeight="1" ht="18.75">
      <c r="A1107" s="2" t="s">
        <v>287</v>
      </c>
      <c r="B1107" s="3" t="s">
        <v>799</v>
      </c>
      <c r="C1107" s="2" t="s">
        <v>231</v>
      </c>
      <c r="D1107" s="30" t="s">
        <v>152</v>
      </c>
    </row>
    <row x14ac:dyDescent="0.25" r="1108" customHeight="1" ht="18.75">
      <c r="A1108" s="2" t="s">
        <v>287</v>
      </c>
      <c r="B1108" s="3" t="s">
        <v>799</v>
      </c>
      <c r="C1108" s="2" t="s">
        <v>230</v>
      </c>
      <c r="D1108" s="30" t="s">
        <v>152</v>
      </c>
    </row>
    <row x14ac:dyDescent="0.25" r="1109" customHeight="1" ht="18.75">
      <c r="A1109" s="2" t="s">
        <v>287</v>
      </c>
      <c r="B1109" s="9" t="s">
        <v>394</v>
      </c>
      <c r="C1109" s="2" t="s">
        <v>228</v>
      </c>
      <c r="D1109" s="30" t="s">
        <v>156</v>
      </c>
    </row>
    <row x14ac:dyDescent="0.25" r="1110" customHeight="1" ht="18.75">
      <c r="A1110" s="2" t="s">
        <v>287</v>
      </c>
      <c r="B1110" s="9" t="s">
        <v>394</v>
      </c>
      <c r="C1110" s="2" t="s">
        <v>231</v>
      </c>
      <c r="D1110" s="30" t="s">
        <v>173</v>
      </c>
    </row>
    <row x14ac:dyDescent="0.25" r="1111" customHeight="1" ht="18.75">
      <c r="A1111" s="2" t="s">
        <v>287</v>
      </c>
      <c r="B1111" s="9" t="s">
        <v>364</v>
      </c>
      <c r="C1111" s="2" t="s">
        <v>228</v>
      </c>
      <c r="D1111" s="30" t="s">
        <v>156</v>
      </c>
    </row>
    <row x14ac:dyDescent="0.25" r="1112" customHeight="1" ht="18.75">
      <c r="A1112" s="2" t="s">
        <v>287</v>
      </c>
      <c r="B1112" s="9" t="s">
        <v>364</v>
      </c>
      <c r="C1112" s="2" t="s">
        <v>231</v>
      </c>
      <c r="D1112" s="30" t="s">
        <v>173</v>
      </c>
    </row>
    <row x14ac:dyDescent="0.25" r="1113" customHeight="1" ht="18.75">
      <c r="A1113" s="2" t="s">
        <v>287</v>
      </c>
      <c r="B1113" s="3" t="s">
        <v>329</v>
      </c>
      <c r="C1113" s="2" t="s">
        <v>228</v>
      </c>
      <c r="D1113" s="30" t="s">
        <v>156</v>
      </c>
    </row>
    <row x14ac:dyDescent="0.25" r="1114" customHeight="1" ht="18.75">
      <c r="A1114" s="2" t="s">
        <v>287</v>
      </c>
      <c r="B1114" s="9" t="s">
        <v>315</v>
      </c>
      <c r="C1114" s="2" t="s">
        <v>228</v>
      </c>
      <c r="D1114" s="30" t="s">
        <v>173</v>
      </c>
    </row>
    <row x14ac:dyDescent="0.25" r="1115" customHeight="1" ht="18.75">
      <c r="A1115" s="2" t="s">
        <v>287</v>
      </c>
      <c r="B1115" s="9" t="s">
        <v>315</v>
      </c>
      <c r="C1115" s="2" t="s">
        <v>231</v>
      </c>
      <c r="D1115" s="30" t="s">
        <v>173</v>
      </c>
    </row>
    <row x14ac:dyDescent="0.25" r="1116" customHeight="1" ht="18.75">
      <c r="A1116" s="2" t="s">
        <v>287</v>
      </c>
      <c r="B1116" s="9" t="s">
        <v>315</v>
      </c>
      <c r="C1116" s="2" t="s">
        <v>230</v>
      </c>
      <c r="D1116" s="30" t="s">
        <v>173</v>
      </c>
    </row>
    <row x14ac:dyDescent="0.25" r="1117" customHeight="1" ht="18.75">
      <c r="A1117" s="2" t="s">
        <v>287</v>
      </c>
      <c r="B1117" s="9" t="s">
        <v>315</v>
      </c>
      <c r="C1117" s="2" t="s">
        <v>232</v>
      </c>
      <c r="D1117" s="30" t="s">
        <v>173</v>
      </c>
    </row>
    <row x14ac:dyDescent="0.25" r="1118" customHeight="1" ht="18.75">
      <c r="A1118" s="2" t="s">
        <v>287</v>
      </c>
      <c r="B1118" s="9" t="s">
        <v>398</v>
      </c>
      <c r="C1118" s="2" t="s">
        <v>228</v>
      </c>
      <c r="D1118" s="30" t="s">
        <v>173</v>
      </c>
    </row>
    <row x14ac:dyDescent="0.25" r="1119" customHeight="1" ht="18.75">
      <c r="A1119" s="2" t="s">
        <v>287</v>
      </c>
      <c r="B1119" s="9" t="s">
        <v>398</v>
      </c>
      <c r="C1119" s="2" t="s">
        <v>231</v>
      </c>
      <c r="D1119" s="30" t="s">
        <v>173</v>
      </c>
    </row>
    <row x14ac:dyDescent="0.25" r="1120" customHeight="1" ht="18.75">
      <c r="A1120" s="2" t="s">
        <v>287</v>
      </c>
      <c r="B1120" s="9" t="s">
        <v>304</v>
      </c>
      <c r="C1120" s="2" t="s">
        <v>231</v>
      </c>
      <c r="D1120" s="30" t="s">
        <v>173</v>
      </c>
    </row>
    <row x14ac:dyDescent="0.25" r="1121" customHeight="1" ht="18.75">
      <c r="A1121" s="2" t="s">
        <v>287</v>
      </c>
      <c r="B1121" s="9" t="s">
        <v>304</v>
      </c>
      <c r="C1121" s="2" t="s">
        <v>230</v>
      </c>
      <c r="D1121" s="30" t="s">
        <v>173</v>
      </c>
    </row>
    <row x14ac:dyDescent="0.25" r="1122" customHeight="1" ht="18.75">
      <c r="A1122" s="2" t="s">
        <v>287</v>
      </c>
      <c r="B1122" s="9" t="s">
        <v>304</v>
      </c>
      <c r="C1122" s="2" t="s">
        <v>232</v>
      </c>
      <c r="D1122" s="30" t="s">
        <v>173</v>
      </c>
    </row>
    <row x14ac:dyDescent="0.25" r="1123" customHeight="1" ht="18.75">
      <c r="A1123" s="2" t="s">
        <v>287</v>
      </c>
      <c r="B1123" s="3" t="s">
        <v>626</v>
      </c>
      <c r="C1123" s="2" t="s">
        <v>228</v>
      </c>
      <c r="D1123" s="30" t="s">
        <v>156</v>
      </c>
    </row>
    <row x14ac:dyDescent="0.25" r="1124" customHeight="1" ht="18.75">
      <c r="A1124" s="2" t="s">
        <v>287</v>
      </c>
      <c r="B1124" s="3" t="s">
        <v>626</v>
      </c>
      <c r="C1124" s="2" t="s">
        <v>232</v>
      </c>
      <c r="D1124" s="30" t="s">
        <v>156</v>
      </c>
    </row>
    <row x14ac:dyDescent="0.25" r="1125" customHeight="1" ht="18.75">
      <c r="A1125" s="2" t="s">
        <v>287</v>
      </c>
      <c r="B1125" s="3" t="s">
        <v>626</v>
      </c>
      <c r="C1125" s="2" t="s">
        <v>233</v>
      </c>
      <c r="D1125" s="30" t="s">
        <v>156</v>
      </c>
    </row>
    <row x14ac:dyDescent="0.25" r="1126" customHeight="1" ht="18.75">
      <c r="A1126" s="2" t="s">
        <v>287</v>
      </c>
      <c r="B1126" s="3" t="s">
        <v>626</v>
      </c>
      <c r="C1126" s="2" t="s">
        <v>234</v>
      </c>
      <c r="D1126" s="30" t="s">
        <v>156</v>
      </c>
    </row>
    <row x14ac:dyDescent="0.25" r="1127" customHeight="1" ht="18.75">
      <c r="A1127" s="2" t="s">
        <v>287</v>
      </c>
      <c r="B1127" s="9" t="s">
        <v>366</v>
      </c>
      <c r="C1127" s="2" t="s">
        <v>228</v>
      </c>
      <c r="D1127" s="30" t="s">
        <v>173</v>
      </c>
    </row>
    <row x14ac:dyDescent="0.25" r="1128" customHeight="1" ht="18.75">
      <c r="A1128" s="2" t="s">
        <v>287</v>
      </c>
      <c r="B1128" s="9" t="s">
        <v>366</v>
      </c>
      <c r="C1128" s="2" t="s">
        <v>231</v>
      </c>
      <c r="D1128" s="30" t="s">
        <v>173</v>
      </c>
    </row>
    <row x14ac:dyDescent="0.25" r="1129" customHeight="1" ht="18.75">
      <c r="A1129" s="2" t="s">
        <v>287</v>
      </c>
      <c r="B1129" s="9" t="s">
        <v>402</v>
      </c>
      <c r="C1129" s="2" t="s">
        <v>228</v>
      </c>
      <c r="D1129" s="30" t="s">
        <v>173</v>
      </c>
    </row>
    <row x14ac:dyDescent="0.25" r="1130" customHeight="1" ht="18.75">
      <c r="A1130" s="2" t="s">
        <v>287</v>
      </c>
      <c r="B1130" s="3" t="s">
        <v>402</v>
      </c>
      <c r="C1130" s="2" t="s">
        <v>231</v>
      </c>
      <c r="D1130" s="30" t="s">
        <v>173</v>
      </c>
    </row>
    <row x14ac:dyDescent="0.25" r="1131" customHeight="1" ht="18.75">
      <c r="A1131" s="2" t="s">
        <v>287</v>
      </c>
      <c r="B1131" s="3" t="s">
        <v>402</v>
      </c>
      <c r="C1131" s="2" t="s">
        <v>232</v>
      </c>
      <c r="D1131" s="30" t="s">
        <v>152</v>
      </c>
    </row>
    <row x14ac:dyDescent="0.25" r="1132" customHeight="1" ht="18.75">
      <c r="A1132" s="2" t="s">
        <v>287</v>
      </c>
      <c r="B1132" s="3" t="s">
        <v>402</v>
      </c>
      <c r="C1132" s="2" t="s">
        <v>233</v>
      </c>
      <c r="D1132" s="30" t="s">
        <v>152</v>
      </c>
    </row>
    <row x14ac:dyDescent="0.25" r="1133" customHeight="1" ht="18.75">
      <c r="A1133" s="2" t="s">
        <v>287</v>
      </c>
      <c r="B1133" s="3" t="s">
        <v>402</v>
      </c>
      <c r="C1133" s="2" t="s">
        <v>234</v>
      </c>
      <c r="D1133" s="30" t="s">
        <v>152</v>
      </c>
    </row>
    <row x14ac:dyDescent="0.25" r="1134" customHeight="1" ht="18.75">
      <c r="A1134" s="2" t="s">
        <v>287</v>
      </c>
      <c r="B1134" s="9" t="s">
        <v>560</v>
      </c>
      <c r="C1134" s="2" t="s">
        <v>228</v>
      </c>
      <c r="D1134" s="30" t="s">
        <v>173</v>
      </c>
    </row>
    <row x14ac:dyDescent="0.25" r="1135" customHeight="1" ht="18.75">
      <c r="A1135" s="2" t="s">
        <v>287</v>
      </c>
      <c r="B1135" s="9" t="s">
        <v>560</v>
      </c>
      <c r="C1135" s="2" t="s">
        <v>231</v>
      </c>
      <c r="D1135" s="30" t="s">
        <v>173</v>
      </c>
    </row>
    <row x14ac:dyDescent="0.25" r="1136" customHeight="1" ht="18.75">
      <c r="A1136" s="2" t="s">
        <v>287</v>
      </c>
      <c r="B1136" s="9" t="s">
        <v>560</v>
      </c>
      <c r="C1136" s="2" t="s">
        <v>230</v>
      </c>
      <c r="D1136" s="30" t="s">
        <v>173</v>
      </c>
    </row>
    <row x14ac:dyDescent="0.25" r="1137" customHeight="1" ht="18.75">
      <c r="A1137" s="2" t="s">
        <v>287</v>
      </c>
      <c r="B1137" s="3" t="s">
        <v>346</v>
      </c>
      <c r="C1137" s="2" t="s">
        <v>228</v>
      </c>
      <c r="D1137" s="30" t="s">
        <v>152</v>
      </c>
    </row>
    <row x14ac:dyDescent="0.25" r="1138" customHeight="1" ht="18.75">
      <c r="A1138" s="2" t="s">
        <v>287</v>
      </c>
      <c r="B1138" s="9" t="s">
        <v>336</v>
      </c>
      <c r="C1138" s="2" t="s">
        <v>228</v>
      </c>
      <c r="D1138" s="30" t="s">
        <v>156</v>
      </c>
    </row>
    <row x14ac:dyDescent="0.25" r="1139" customHeight="1" ht="18.75">
      <c r="A1139" s="2" t="s">
        <v>287</v>
      </c>
      <c r="B1139" s="9" t="s">
        <v>336</v>
      </c>
      <c r="C1139" s="2" t="s">
        <v>231</v>
      </c>
      <c r="D1139" s="30" t="s">
        <v>173</v>
      </c>
    </row>
    <row x14ac:dyDescent="0.25" r="1140" customHeight="1" ht="18.75">
      <c r="A1140" s="2" t="s">
        <v>287</v>
      </c>
      <c r="B1140" s="9" t="s">
        <v>336</v>
      </c>
      <c r="C1140" s="2" t="s">
        <v>230</v>
      </c>
      <c r="D1140" s="30" t="s">
        <v>173</v>
      </c>
    </row>
    <row x14ac:dyDescent="0.25" r="1141" customHeight="1" ht="18.75">
      <c r="A1141" s="2" t="s">
        <v>287</v>
      </c>
      <c r="B1141" s="9" t="s">
        <v>336</v>
      </c>
      <c r="C1141" s="2" t="s">
        <v>232</v>
      </c>
      <c r="D1141" s="30" t="s">
        <v>173</v>
      </c>
    </row>
    <row x14ac:dyDescent="0.25" r="1142" customHeight="1" ht="18.75">
      <c r="A1142" s="2" t="s">
        <v>287</v>
      </c>
      <c r="B1142" s="9" t="s">
        <v>336</v>
      </c>
      <c r="C1142" s="2" t="s">
        <v>233</v>
      </c>
      <c r="D1142" s="30" t="s">
        <v>173</v>
      </c>
    </row>
    <row x14ac:dyDescent="0.25" r="1143" customHeight="1" ht="18.75">
      <c r="A1143" s="2" t="s">
        <v>287</v>
      </c>
      <c r="B1143" s="9" t="s">
        <v>336</v>
      </c>
      <c r="C1143" s="2" t="s">
        <v>1011</v>
      </c>
      <c r="D1143" s="30" t="s">
        <v>173</v>
      </c>
    </row>
    <row x14ac:dyDescent="0.25" r="1144" customHeight="1" ht="18.75">
      <c r="A1144" s="2" t="s">
        <v>287</v>
      </c>
      <c r="B1144" s="9" t="s">
        <v>336</v>
      </c>
      <c r="C1144" s="2" t="s">
        <v>1012</v>
      </c>
      <c r="D1144" s="30" t="s">
        <v>173</v>
      </c>
    </row>
    <row x14ac:dyDescent="0.25" r="1145" customHeight="1" ht="18.75">
      <c r="A1145" s="2" t="s">
        <v>287</v>
      </c>
      <c r="B1145" s="9" t="s">
        <v>292</v>
      </c>
      <c r="C1145" s="2" t="s">
        <v>228</v>
      </c>
      <c r="D1145" s="30" t="s">
        <v>152</v>
      </c>
    </row>
    <row x14ac:dyDescent="0.25" r="1146" customHeight="1" ht="18.75">
      <c r="A1146" s="2" t="s">
        <v>287</v>
      </c>
      <c r="B1146" s="9" t="s">
        <v>292</v>
      </c>
      <c r="C1146" s="2" t="s">
        <v>231</v>
      </c>
      <c r="D1146" s="30" t="s">
        <v>173</v>
      </c>
    </row>
    <row x14ac:dyDescent="0.25" r="1147" customHeight="1" ht="18.75">
      <c r="A1147" s="2" t="s">
        <v>287</v>
      </c>
      <c r="B1147" s="9" t="s">
        <v>292</v>
      </c>
      <c r="C1147" s="2" t="s">
        <v>230</v>
      </c>
      <c r="D1147" s="30" t="s">
        <v>173</v>
      </c>
    </row>
    <row x14ac:dyDescent="0.25" r="1148" customHeight="1" ht="18.75">
      <c r="A1148" s="2" t="s">
        <v>287</v>
      </c>
      <c r="B1148" s="9" t="s">
        <v>292</v>
      </c>
      <c r="C1148" s="2" t="s">
        <v>232</v>
      </c>
      <c r="D1148" s="30" t="s">
        <v>173</v>
      </c>
    </row>
    <row x14ac:dyDescent="0.25" r="1149" customHeight="1" ht="18.75">
      <c r="A1149" s="2" t="s">
        <v>287</v>
      </c>
      <c r="B1149" s="9" t="s">
        <v>302</v>
      </c>
      <c r="C1149" s="2" t="s">
        <v>231</v>
      </c>
      <c r="D1149" s="30" t="s">
        <v>173</v>
      </c>
    </row>
    <row x14ac:dyDescent="0.25" r="1150" customHeight="1" ht="18.75">
      <c r="A1150" s="2" t="s">
        <v>287</v>
      </c>
      <c r="B1150" s="9" t="s">
        <v>296</v>
      </c>
      <c r="C1150" s="2" t="s">
        <v>228</v>
      </c>
      <c r="D1150" s="30" t="s">
        <v>152</v>
      </c>
    </row>
    <row x14ac:dyDescent="0.25" r="1151" customHeight="1" ht="18.75">
      <c r="A1151" s="2" t="s">
        <v>287</v>
      </c>
      <c r="B1151" s="3" t="s">
        <v>296</v>
      </c>
      <c r="C1151" s="2" t="s">
        <v>231</v>
      </c>
      <c r="D1151" s="30" t="s">
        <v>152</v>
      </c>
    </row>
    <row x14ac:dyDescent="0.25" r="1152" customHeight="1" ht="18.75">
      <c r="A1152" s="2" t="s">
        <v>287</v>
      </c>
      <c r="B1152" s="3" t="s">
        <v>296</v>
      </c>
      <c r="C1152" s="2" t="s">
        <v>230</v>
      </c>
      <c r="D1152" s="30" t="s">
        <v>152</v>
      </c>
    </row>
    <row x14ac:dyDescent="0.25" r="1153" customHeight="1" ht="18.75">
      <c r="A1153" s="2" t="s">
        <v>287</v>
      </c>
      <c r="B1153" s="3" t="s">
        <v>296</v>
      </c>
      <c r="C1153" s="2" t="s">
        <v>232</v>
      </c>
      <c r="D1153" s="30" t="s">
        <v>152</v>
      </c>
    </row>
    <row x14ac:dyDescent="0.25" r="1154" customHeight="1" ht="18.75">
      <c r="A1154" s="2" t="s">
        <v>287</v>
      </c>
      <c r="B1154" s="3" t="s">
        <v>296</v>
      </c>
      <c r="C1154" s="2" t="s">
        <v>233</v>
      </c>
      <c r="D1154" s="30" t="s">
        <v>152</v>
      </c>
    </row>
    <row x14ac:dyDescent="0.25" r="1155" customHeight="1" ht="18.75">
      <c r="A1155" s="2" t="s">
        <v>287</v>
      </c>
      <c r="B1155" s="3" t="s">
        <v>318</v>
      </c>
      <c r="C1155" s="2" t="s">
        <v>228</v>
      </c>
      <c r="D1155" s="30" t="s">
        <v>229</v>
      </c>
    </row>
    <row x14ac:dyDescent="0.25" r="1156" customHeight="1" ht="18.75">
      <c r="A1156" s="2" t="s">
        <v>287</v>
      </c>
      <c r="B1156" s="9" t="s">
        <v>318</v>
      </c>
      <c r="C1156" s="2" t="s">
        <v>231</v>
      </c>
      <c r="D1156" s="30" t="s">
        <v>173</v>
      </c>
    </row>
    <row x14ac:dyDescent="0.25" r="1157" customHeight="1" ht="18.75">
      <c r="A1157" s="2" t="s">
        <v>287</v>
      </c>
      <c r="B1157" s="9" t="s">
        <v>318</v>
      </c>
      <c r="C1157" s="2" t="s">
        <v>230</v>
      </c>
      <c r="D1157" s="30" t="s">
        <v>173</v>
      </c>
    </row>
    <row x14ac:dyDescent="0.25" r="1158" customHeight="1" ht="18.75">
      <c r="A1158" s="2" t="s">
        <v>287</v>
      </c>
      <c r="B1158" s="9" t="s">
        <v>318</v>
      </c>
      <c r="C1158" s="2" t="s">
        <v>232</v>
      </c>
      <c r="D1158" s="30" t="s">
        <v>173</v>
      </c>
    </row>
    <row x14ac:dyDescent="0.25" r="1159" customHeight="1" ht="18.75">
      <c r="A1159" s="2" t="s">
        <v>287</v>
      </c>
      <c r="B1159" s="9" t="s">
        <v>300</v>
      </c>
      <c r="C1159" s="2" t="s">
        <v>228</v>
      </c>
      <c r="D1159" s="30" t="s">
        <v>173</v>
      </c>
    </row>
    <row x14ac:dyDescent="0.25" r="1160" customHeight="1" ht="18.75">
      <c r="A1160" s="2" t="s">
        <v>287</v>
      </c>
      <c r="B1160" s="3" t="s">
        <v>294</v>
      </c>
      <c r="C1160" s="2" t="s">
        <v>228</v>
      </c>
      <c r="D1160" s="30" t="s">
        <v>152</v>
      </c>
    </row>
    <row x14ac:dyDescent="0.25" r="1161" customHeight="1" ht="18.75">
      <c r="A1161" s="2" t="s">
        <v>287</v>
      </c>
      <c r="B1161" s="3" t="s">
        <v>290</v>
      </c>
      <c r="C1161" s="2" t="s">
        <v>228</v>
      </c>
      <c r="D1161" s="30" t="s">
        <v>152</v>
      </c>
    </row>
    <row x14ac:dyDescent="0.25" r="1162" customHeight="1" ht="18.75">
      <c r="A1162" s="2" t="s">
        <v>287</v>
      </c>
      <c r="B1162" s="3" t="s">
        <v>290</v>
      </c>
      <c r="C1162" s="2" t="s">
        <v>231</v>
      </c>
      <c r="D1162" s="30" t="s">
        <v>152</v>
      </c>
    </row>
    <row x14ac:dyDescent="0.25" r="1163" customHeight="1" ht="18.75">
      <c r="A1163" s="2" t="s">
        <v>287</v>
      </c>
      <c r="B1163" s="9" t="s">
        <v>343</v>
      </c>
      <c r="C1163" s="2" t="s">
        <v>228</v>
      </c>
      <c r="D1163" s="30" t="s">
        <v>152</v>
      </c>
    </row>
    <row x14ac:dyDescent="0.25" r="1164" customHeight="1" ht="18.75">
      <c r="A1164" s="2" t="s">
        <v>287</v>
      </c>
      <c r="B1164" s="9" t="s">
        <v>409</v>
      </c>
      <c r="C1164" s="2" t="s">
        <v>228</v>
      </c>
      <c r="D1164" s="30" t="s">
        <v>173</v>
      </c>
    </row>
    <row x14ac:dyDescent="0.25" r="1165" customHeight="1" ht="18.75">
      <c r="A1165" s="2" t="s">
        <v>287</v>
      </c>
      <c r="B1165" s="3" t="s">
        <v>423</v>
      </c>
      <c r="C1165" s="2" t="s">
        <v>228</v>
      </c>
      <c r="D1165" s="30" t="s">
        <v>152</v>
      </c>
    </row>
    <row x14ac:dyDescent="0.25" r="1166" customHeight="1" ht="18.75">
      <c r="A1166" s="2" t="s">
        <v>287</v>
      </c>
      <c r="B1166" s="9" t="s">
        <v>322</v>
      </c>
      <c r="C1166" s="2" t="s">
        <v>228</v>
      </c>
      <c r="D1166" s="30" t="s">
        <v>173</v>
      </c>
    </row>
    <row x14ac:dyDescent="0.25" r="1167" customHeight="1" ht="18.75">
      <c r="A1167" s="2" t="s">
        <v>287</v>
      </c>
      <c r="B1167" s="9" t="s">
        <v>413</v>
      </c>
      <c r="C1167" s="2" t="s">
        <v>228</v>
      </c>
      <c r="D1167" s="30" t="s">
        <v>173</v>
      </c>
    </row>
    <row x14ac:dyDescent="0.25" r="1168" customHeight="1" ht="18.75">
      <c r="A1168" s="2" t="s">
        <v>287</v>
      </c>
      <c r="B1168" s="9" t="s">
        <v>404</v>
      </c>
      <c r="C1168" s="2" t="s">
        <v>228</v>
      </c>
      <c r="D1168" s="30" t="s">
        <v>156</v>
      </c>
    </row>
    <row x14ac:dyDescent="0.25" r="1169" customHeight="1" ht="18.75">
      <c r="A1169" s="2" t="s">
        <v>287</v>
      </c>
      <c r="B1169" s="9" t="s">
        <v>404</v>
      </c>
      <c r="C1169" s="2" t="s">
        <v>231</v>
      </c>
      <c r="D1169" s="30" t="s">
        <v>156</v>
      </c>
    </row>
    <row x14ac:dyDescent="0.25" r="1170" customHeight="1" ht="18.75">
      <c r="A1170" s="2" t="s">
        <v>287</v>
      </c>
      <c r="B1170" s="9" t="s">
        <v>404</v>
      </c>
      <c r="C1170" s="2" t="s">
        <v>230</v>
      </c>
      <c r="D1170" s="30" t="s">
        <v>156</v>
      </c>
    </row>
    <row x14ac:dyDescent="0.25" r="1171" customHeight="1" ht="18.75">
      <c r="A1171" s="2" t="s">
        <v>287</v>
      </c>
      <c r="B1171" s="9" t="s">
        <v>404</v>
      </c>
      <c r="C1171" s="2" t="s">
        <v>232</v>
      </c>
      <c r="D1171" s="30" t="s">
        <v>156</v>
      </c>
    </row>
    <row x14ac:dyDescent="0.25" r="1172" customHeight="1" ht="18.75">
      <c r="A1172" s="2" t="s">
        <v>287</v>
      </c>
      <c r="B1172" s="9" t="s">
        <v>404</v>
      </c>
      <c r="C1172" s="2" t="s">
        <v>233</v>
      </c>
      <c r="D1172" s="30" t="s">
        <v>156</v>
      </c>
    </row>
    <row x14ac:dyDescent="0.25" r="1173" customHeight="1" ht="18.75">
      <c r="A1173" s="2" t="s">
        <v>287</v>
      </c>
      <c r="B1173" s="9" t="s">
        <v>404</v>
      </c>
      <c r="C1173" s="2" t="s">
        <v>234</v>
      </c>
      <c r="D1173" s="30" t="s">
        <v>156</v>
      </c>
    </row>
    <row x14ac:dyDescent="0.25" r="1174" customHeight="1" ht="18.75">
      <c r="A1174" s="2" t="s">
        <v>287</v>
      </c>
      <c r="B1174" s="9" t="s">
        <v>404</v>
      </c>
      <c r="C1174" s="2" t="s">
        <v>1011</v>
      </c>
      <c r="D1174" s="30" t="s">
        <v>156</v>
      </c>
    </row>
    <row x14ac:dyDescent="0.25" r="1175" customHeight="1" ht="18.75">
      <c r="A1175" s="2" t="s">
        <v>287</v>
      </c>
      <c r="B1175" s="9" t="s">
        <v>404</v>
      </c>
      <c r="C1175" s="2" t="s">
        <v>1012</v>
      </c>
      <c r="D1175" s="30" t="s">
        <v>156</v>
      </c>
    </row>
    <row x14ac:dyDescent="0.25" r="1176" customHeight="1" ht="18.75">
      <c r="A1176" s="2" t="s">
        <v>287</v>
      </c>
      <c r="B1176" s="9" t="s">
        <v>404</v>
      </c>
      <c r="C1176" s="2" t="s">
        <v>1013</v>
      </c>
      <c r="D1176" s="30" t="s">
        <v>156</v>
      </c>
    </row>
    <row x14ac:dyDescent="0.25" r="1177" customHeight="1" ht="18.75">
      <c r="A1177" s="2" t="s">
        <v>287</v>
      </c>
      <c r="B1177" s="9" t="s">
        <v>404</v>
      </c>
      <c r="C1177" s="2" t="s">
        <v>1014</v>
      </c>
      <c r="D1177" s="30" t="s">
        <v>156</v>
      </c>
    </row>
    <row x14ac:dyDescent="0.25" r="1178" customHeight="1" ht="18.75">
      <c r="A1178" s="2" t="s">
        <v>287</v>
      </c>
      <c r="B1178" s="9" t="s">
        <v>404</v>
      </c>
      <c r="C1178" s="2" t="s">
        <v>1015</v>
      </c>
      <c r="D1178" s="30" t="s">
        <v>156</v>
      </c>
    </row>
    <row x14ac:dyDescent="0.25" r="1179" customHeight="1" ht="18.75">
      <c r="A1179" s="2" t="s">
        <v>287</v>
      </c>
      <c r="B1179" s="9" t="s">
        <v>404</v>
      </c>
      <c r="C1179" s="2" t="s">
        <v>1016</v>
      </c>
      <c r="D1179" s="30" t="s">
        <v>156</v>
      </c>
    </row>
    <row x14ac:dyDescent="0.25" r="1180" customHeight="1" ht="18.75">
      <c r="A1180" s="2" t="s">
        <v>287</v>
      </c>
      <c r="B1180" s="9" t="s">
        <v>404</v>
      </c>
      <c r="C1180" s="2" t="s">
        <v>1017</v>
      </c>
      <c r="D1180" s="30" t="s">
        <v>156</v>
      </c>
    </row>
    <row x14ac:dyDescent="0.25" r="1181" customHeight="1" ht="18.75">
      <c r="A1181" s="2" t="s">
        <v>287</v>
      </c>
      <c r="B1181" s="9" t="s">
        <v>404</v>
      </c>
      <c r="C1181" s="2" t="s">
        <v>1018</v>
      </c>
      <c r="D1181" s="30" t="s">
        <v>156</v>
      </c>
    </row>
    <row x14ac:dyDescent="0.25" r="1182" customHeight="1" ht="18.75">
      <c r="A1182" s="2" t="s">
        <v>287</v>
      </c>
      <c r="B1182" s="9" t="s">
        <v>404</v>
      </c>
      <c r="C1182" s="2" t="s">
        <v>1019</v>
      </c>
      <c r="D1182" s="30" t="s">
        <v>156</v>
      </c>
    </row>
    <row x14ac:dyDescent="0.25" r="1183" customHeight="1" ht="18.75">
      <c r="A1183" s="2" t="s">
        <v>287</v>
      </c>
      <c r="B1183" s="9" t="s">
        <v>404</v>
      </c>
      <c r="C1183" s="2" t="s">
        <v>1020</v>
      </c>
      <c r="D1183" s="30" t="s">
        <v>156</v>
      </c>
    </row>
    <row x14ac:dyDescent="0.25" r="1184" customHeight="1" ht="18.75">
      <c r="A1184" s="2" t="s">
        <v>287</v>
      </c>
      <c r="B1184" s="9" t="s">
        <v>404</v>
      </c>
      <c r="C1184" s="2" t="s">
        <v>1021</v>
      </c>
      <c r="D1184" s="30" t="s">
        <v>156</v>
      </c>
    </row>
    <row x14ac:dyDescent="0.25" r="1185" customHeight="1" ht="18.75">
      <c r="A1185" s="2" t="s">
        <v>287</v>
      </c>
      <c r="B1185" s="9" t="s">
        <v>404</v>
      </c>
      <c r="C1185" s="2" t="s">
        <v>1022</v>
      </c>
      <c r="D1185" s="30" t="s">
        <v>156</v>
      </c>
    </row>
    <row x14ac:dyDescent="0.25" r="1186" customHeight="1" ht="18.75">
      <c r="A1186" s="2" t="s">
        <v>287</v>
      </c>
      <c r="B1186" s="9" t="s">
        <v>404</v>
      </c>
      <c r="C1186" s="2" t="s">
        <v>1023</v>
      </c>
      <c r="D1186" s="30" t="s">
        <v>156</v>
      </c>
    </row>
    <row x14ac:dyDescent="0.25" r="1187" customHeight="1" ht="18.75">
      <c r="A1187" s="2" t="s">
        <v>287</v>
      </c>
      <c r="B1187" s="9" t="s">
        <v>404</v>
      </c>
      <c r="C1187" s="2" t="s">
        <v>1024</v>
      </c>
      <c r="D1187" s="30" t="s">
        <v>156</v>
      </c>
    </row>
    <row x14ac:dyDescent="0.25" r="1188" customHeight="1" ht="18.75">
      <c r="A1188" s="2" t="s">
        <v>287</v>
      </c>
      <c r="B1188" s="9" t="s">
        <v>404</v>
      </c>
      <c r="C1188" s="2" t="s">
        <v>1025</v>
      </c>
      <c r="D1188" s="30" t="s">
        <v>156</v>
      </c>
    </row>
    <row x14ac:dyDescent="0.25" r="1189" customHeight="1" ht="18.75">
      <c r="A1189" s="2" t="s">
        <v>287</v>
      </c>
      <c r="B1189" s="9" t="s">
        <v>404</v>
      </c>
      <c r="C1189" s="2" t="s">
        <v>1026</v>
      </c>
      <c r="D1189" s="30" t="s">
        <v>156</v>
      </c>
    </row>
    <row x14ac:dyDescent="0.25" r="1190" customHeight="1" ht="18.75">
      <c r="A1190" s="2" t="s">
        <v>287</v>
      </c>
      <c r="B1190" s="9" t="s">
        <v>404</v>
      </c>
      <c r="C1190" s="2" t="s">
        <v>1027</v>
      </c>
      <c r="D1190" s="30" t="s">
        <v>156</v>
      </c>
    </row>
    <row x14ac:dyDescent="0.25" r="1191" customHeight="1" ht="18.75">
      <c r="A1191" s="2" t="s">
        <v>287</v>
      </c>
      <c r="B1191" s="9" t="s">
        <v>404</v>
      </c>
      <c r="C1191" s="2" t="s">
        <v>1028</v>
      </c>
      <c r="D1191" s="30" t="s">
        <v>156</v>
      </c>
    </row>
    <row x14ac:dyDescent="0.25" r="1192" customHeight="1" ht="18.75">
      <c r="A1192" s="2" t="s">
        <v>287</v>
      </c>
      <c r="B1192" s="9" t="s">
        <v>404</v>
      </c>
      <c r="C1192" s="2" t="s">
        <v>1029</v>
      </c>
      <c r="D1192" s="30" t="s">
        <v>156</v>
      </c>
    </row>
    <row x14ac:dyDescent="0.25" r="1193" customHeight="1" ht="18.75">
      <c r="A1193" s="2" t="s">
        <v>287</v>
      </c>
      <c r="B1193" s="9" t="s">
        <v>404</v>
      </c>
      <c r="C1193" s="2" t="s">
        <v>1030</v>
      </c>
      <c r="D1193" s="30" t="s">
        <v>156</v>
      </c>
    </row>
    <row x14ac:dyDescent="0.25" r="1194" customHeight="1" ht="18.75">
      <c r="A1194" s="2" t="s">
        <v>287</v>
      </c>
      <c r="B1194" s="3" t="s">
        <v>404</v>
      </c>
      <c r="C1194" s="2" t="s">
        <v>1031</v>
      </c>
      <c r="D1194" s="30" t="s">
        <v>156</v>
      </c>
    </row>
    <row x14ac:dyDescent="0.25" r="1195" customHeight="1" ht="18.75">
      <c r="A1195" s="2" t="s">
        <v>287</v>
      </c>
      <c r="B1195" s="3" t="s">
        <v>404</v>
      </c>
      <c r="C1195" s="2" t="s">
        <v>1032</v>
      </c>
      <c r="D1195" s="30" t="s">
        <v>156</v>
      </c>
    </row>
    <row x14ac:dyDescent="0.25" r="1196" customHeight="1" ht="18.75">
      <c r="A1196" s="2" t="s">
        <v>287</v>
      </c>
      <c r="B1196" s="9" t="s">
        <v>404</v>
      </c>
      <c r="C1196" s="2" t="s">
        <v>1033</v>
      </c>
      <c r="D1196" s="30" t="s">
        <v>156</v>
      </c>
    </row>
    <row x14ac:dyDescent="0.25" r="1197" customHeight="1" ht="18.75">
      <c r="A1197" s="2" t="s">
        <v>287</v>
      </c>
      <c r="B1197" s="9" t="s">
        <v>404</v>
      </c>
      <c r="C1197" s="2" t="s">
        <v>1034</v>
      </c>
      <c r="D1197" s="30" t="s">
        <v>156</v>
      </c>
    </row>
    <row x14ac:dyDescent="0.25" r="1198" customHeight="1" ht="18.75">
      <c r="A1198" s="2" t="s">
        <v>287</v>
      </c>
      <c r="B1198" s="9" t="s">
        <v>404</v>
      </c>
      <c r="C1198" s="2" t="s">
        <v>1035</v>
      </c>
      <c r="D1198" s="30" t="s">
        <v>156</v>
      </c>
    </row>
    <row x14ac:dyDescent="0.25" r="1199" customHeight="1" ht="18.75">
      <c r="A1199" s="2" t="s">
        <v>287</v>
      </c>
      <c r="B1199" s="9" t="s">
        <v>404</v>
      </c>
      <c r="C1199" s="2" t="s">
        <v>1036</v>
      </c>
      <c r="D1199" s="30" t="s">
        <v>156</v>
      </c>
    </row>
    <row x14ac:dyDescent="0.25" r="1200" customHeight="1" ht="18.75">
      <c r="A1200" s="2" t="s">
        <v>287</v>
      </c>
      <c r="B1200" s="9" t="s">
        <v>404</v>
      </c>
      <c r="C1200" s="2" t="s">
        <v>1037</v>
      </c>
      <c r="D1200" s="30" t="s">
        <v>156</v>
      </c>
    </row>
    <row x14ac:dyDescent="0.25" r="1201" customHeight="1" ht="18.75">
      <c r="A1201" s="2" t="s">
        <v>287</v>
      </c>
      <c r="B1201" s="3" t="s">
        <v>404</v>
      </c>
      <c r="C1201" s="2" t="s">
        <v>1038</v>
      </c>
      <c r="D1201" s="30" t="s">
        <v>156</v>
      </c>
    </row>
    <row x14ac:dyDescent="0.25" r="1202" customHeight="1" ht="18.75">
      <c r="A1202" s="2" t="s">
        <v>287</v>
      </c>
      <c r="B1202" s="3" t="s">
        <v>404</v>
      </c>
      <c r="C1202" s="2" t="s">
        <v>1039</v>
      </c>
      <c r="D1202" s="30" t="s">
        <v>156</v>
      </c>
    </row>
    <row x14ac:dyDescent="0.25" r="1203" customHeight="1" ht="18.75">
      <c r="A1203" s="2" t="s">
        <v>287</v>
      </c>
      <c r="B1203" s="3" t="s">
        <v>404</v>
      </c>
      <c r="C1203" s="2" t="s">
        <v>1040</v>
      </c>
      <c r="D1203" s="30" t="s">
        <v>156</v>
      </c>
    </row>
    <row x14ac:dyDescent="0.25" r="1204" customHeight="1" ht="18.75">
      <c r="A1204" s="2" t="s">
        <v>287</v>
      </c>
      <c r="B1204" s="9" t="s">
        <v>311</v>
      </c>
      <c r="C1204" s="2" t="s">
        <v>228</v>
      </c>
      <c r="D1204" s="30" t="s">
        <v>173</v>
      </c>
    </row>
    <row x14ac:dyDescent="0.25" r="1205" customHeight="1" ht="18.75">
      <c r="A1205" s="2" t="s">
        <v>287</v>
      </c>
      <c r="B1205" s="9" t="s">
        <v>311</v>
      </c>
      <c r="C1205" s="2" t="s">
        <v>231</v>
      </c>
      <c r="D1205" s="30" t="s">
        <v>173</v>
      </c>
    </row>
    <row x14ac:dyDescent="0.25" r="1206" customHeight="1" ht="18.75">
      <c r="A1206" s="2" t="s">
        <v>287</v>
      </c>
      <c r="B1206" s="9" t="s">
        <v>298</v>
      </c>
      <c r="C1206" s="2" t="s">
        <v>228</v>
      </c>
      <c r="D1206" s="30" t="s">
        <v>173</v>
      </c>
    </row>
    <row x14ac:dyDescent="0.25" r="1207" customHeight="1" ht="18.75">
      <c r="A1207" s="2" t="s">
        <v>287</v>
      </c>
      <c r="B1207" s="9" t="s">
        <v>616</v>
      </c>
      <c r="C1207" s="2" t="s">
        <v>228</v>
      </c>
      <c r="D1207" s="30" t="s">
        <v>173</v>
      </c>
    </row>
    <row x14ac:dyDescent="0.25" r="1208" customHeight="1" ht="18.75">
      <c r="A1208" s="2" t="s">
        <v>287</v>
      </c>
      <c r="B1208" s="9" t="s">
        <v>612</v>
      </c>
      <c r="C1208" s="2" t="s">
        <v>228</v>
      </c>
      <c r="D1208" s="30" t="s">
        <v>173</v>
      </c>
    </row>
    <row x14ac:dyDescent="0.25" r="1209" customHeight="1" ht="18.75">
      <c r="A1209" s="2" t="s">
        <v>287</v>
      </c>
      <c r="B1209" s="3" t="s">
        <v>612</v>
      </c>
      <c r="C1209" s="2" t="s">
        <v>231</v>
      </c>
      <c r="D1209" s="30" t="s">
        <v>156</v>
      </c>
    </row>
    <row x14ac:dyDescent="0.25" r="1210" customHeight="1" ht="18.75">
      <c r="A1210" s="2" t="s">
        <v>287</v>
      </c>
      <c r="B1210" s="3" t="s">
        <v>612</v>
      </c>
      <c r="C1210" s="2" t="s">
        <v>230</v>
      </c>
      <c r="D1210" s="30" t="s">
        <v>152</v>
      </c>
    </row>
    <row x14ac:dyDescent="0.25" r="1211" customHeight="1" ht="18.75">
      <c r="A1211" s="2" t="s">
        <v>287</v>
      </c>
      <c r="B1211" s="9" t="s">
        <v>836</v>
      </c>
      <c r="C1211" s="2" t="s">
        <v>228</v>
      </c>
      <c r="D1211" s="30" t="s">
        <v>173</v>
      </c>
    </row>
    <row x14ac:dyDescent="0.25" r="1212" customHeight="1" ht="18.75">
      <c r="A1212" s="36" t="s">
        <v>287</v>
      </c>
      <c r="B1212" s="37" t="s">
        <v>311</v>
      </c>
      <c r="C1212" s="36" t="s">
        <v>1041</v>
      </c>
      <c r="D1212" s="30" t="s">
        <v>154</v>
      </c>
    </row>
    <row x14ac:dyDescent="0.25" r="1213" customHeight="1" ht="18.75">
      <c r="A1213" s="36" t="s">
        <v>287</v>
      </c>
      <c r="B1213" s="37" t="s">
        <v>311</v>
      </c>
      <c r="C1213" s="36" t="s">
        <v>1042</v>
      </c>
      <c r="D1213" s="30" t="s">
        <v>154</v>
      </c>
    </row>
    <row x14ac:dyDescent="0.25" r="1214" customHeight="1" ht="18.75">
      <c r="A1214" s="1"/>
      <c r="B1214" s="3"/>
      <c r="C1214" s="33"/>
      <c r="D1214" s="17"/>
    </row>
    <row x14ac:dyDescent="0.25" r="1215" customHeight="1" ht="18.75">
      <c r="A1215" s="1"/>
      <c r="B1215" s="3"/>
      <c r="C1215" s="33"/>
      <c r="D1215" s="17"/>
    </row>
    <row x14ac:dyDescent="0.25" r="1216" customHeight="1" ht="18.75">
      <c r="A1216" s="1"/>
      <c r="B1216" s="3"/>
      <c r="C1216" s="33"/>
      <c r="D1216" s="17"/>
    </row>
    <row x14ac:dyDescent="0.25" r="1217" customHeight="1" ht="18.75">
      <c r="A1217" s="1"/>
      <c r="B1217" s="3"/>
      <c r="C1217" s="33"/>
      <c r="D1217" s="17"/>
    </row>
    <row x14ac:dyDescent="0.25" r="1218" customHeight="1" ht="18.75">
      <c r="A1218" s="1"/>
      <c r="B1218" s="3"/>
      <c r="C1218" s="33"/>
      <c r="D1218" s="17"/>
    </row>
    <row x14ac:dyDescent="0.25" r="1219" customHeight="1" ht="18.75">
      <c r="A1219" s="1"/>
      <c r="B1219" s="3"/>
      <c r="C1219" s="33"/>
      <c r="D1219" s="17"/>
    </row>
    <row x14ac:dyDescent="0.25" r="1220" customHeight="1" ht="18.75">
      <c r="A1220" s="1"/>
      <c r="B1220" s="3"/>
      <c r="C1220" s="33"/>
      <c r="D1220" s="17"/>
    </row>
    <row x14ac:dyDescent="0.25" r="1221" customHeight="1" ht="18.75">
      <c r="A1221" s="1"/>
      <c r="B1221" s="3"/>
      <c r="C1221" s="33"/>
      <c r="D1221" s="17"/>
    </row>
    <row x14ac:dyDescent="0.25" r="1222" customHeight="1" ht="18.75">
      <c r="A1222" s="1"/>
      <c r="B1222" s="3"/>
      <c r="C1222" s="33"/>
      <c r="D1222" s="17"/>
    </row>
    <row x14ac:dyDescent="0.25" r="1223" customHeight="1" ht="18.75">
      <c r="A1223" s="1"/>
      <c r="B1223" s="3"/>
      <c r="C1223" s="33"/>
      <c r="D1223" s="17"/>
    </row>
    <row x14ac:dyDescent="0.25" r="1224" customHeight="1" ht="18.75">
      <c r="A1224" s="1"/>
      <c r="B1224" s="3"/>
      <c r="C1224" s="33"/>
      <c r="D1224" s="17"/>
    </row>
    <row x14ac:dyDescent="0.25" r="1225" customHeight="1" ht="18.75">
      <c r="A1225" s="1"/>
      <c r="B1225" s="3"/>
      <c r="C1225" s="33"/>
      <c r="D1225" s="17"/>
    </row>
    <row x14ac:dyDescent="0.25" r="1226" customHeight="1" ht="18.75">
      <c r="A1226" s="1"/>
      <c r="B1226" s="3"/>
      <c r="C1226" s="33"/>
      <c r="D1226" s="17"/>
    </row>
    <row x14ac:dyDescent="0.25" r="1227" customHeight="1" ht="18.75">
      <c r="A1227" s="1"/>
      <c r="B1227" s="3"/>
      <c r="C1227" s="33"/>
      <c r="D1227" s="17"/>
    </row>
    <row x14ac:dyDescent="0.25" r="1228" customHeight="1" ht="18.75">
      <c r="A1228" s="1"/>
      <c r="B1228" s="3"/>
      <c r="C1228" s="33"/>
      <c r="D1228" s="17"/>
    </row>
    <row x14ac:dyDescent="0.25" r="1229" customHeight="1" ht="18.75">
      <c r="A1229" s="1"/>
      <c r="B1229" s="3"/>
      <c r="C1229" s="33"/>
      <c r="D1229" s="17"/>
    </row>
    <row x14ac:dyDescent="0.25" r="1230" customHeight="1" ht="18.75">
      <c r="A1230" s="1"/>
      <c r="B1230" s="3"/>
      <c r="C1230" s="33"/>
      <c r="D1230" s="17"/>
    </row>
    <row x14ac:dyDescent="0.25" r="1231" customHeight="1" ht="18.75">
      <c r="A1231" s="1"/>
      <c r="B1231" s="3"/>
      <c r="C1231" s="33"/>
      <c r="D1231" s="17"/>
    </row>
    <row x14ac:dyDescent="0.25" r="1232" customHeight="1" ht="18.75">
      <c r="A1232" s="1"/>
      <c r="B1232" s="3"/>
      <c r="C1232" s="33"/>
      <c r="D1232" s="17"/>
    </row>
    <row x14ac:dyDescent="0.25" r="1233" customHeight="1" ht="18.75">
      <c r="A1233" s="1"/>
      <c r="B1233" s="3"/>
      <c r="C1233" s="33"/>
      <c r="D1233" s="17"/>
    </row>
    <row x14ac:dyDescent="0.25" r="1234" customHeight="1" ht="18.75">
      <c r="A1234" s="1"/>
      <c r="B1234" s="3"/>
      <c r="C1234" s="33"/>
      <c r="D1234" s="17"/>
    </row>
    <row x14ac:dyDescent="0.25" r="1235" customHeight="1" ht="18.75">
      <c r="A1235" s="1"/>
      <c r="B1235" s="3"/>
      <c r="C1235" s="33"/>
      <c r="D1235" s="17"/>
    </row>
    <row x14ac:dyDescent="0.25" r="1236" customHeight="1" ht="18.75">
      <c r="A1236" s="1"/>
      <c r="B1236" s="3"/>
      <c r="C1236" s="33"/>
      <c r="D1236" s="17"/>
    </row>
    <row x14ac:dyDescent="0.25" r="1237" customHeight="1" ht="18.75">
      <c r="A1237" s="1"/>
      <c r="B1237" s="3"/>
      <c r="C1237" s="33"/>
      <c r="D1237" s="17"/>
    </row>
    <row x14ac:dyDescent="0.25" r="1238" customHeight="1" ht="18.75">
      <c r="A1238" s="1"/>
      <c r="B1238" s="3"/>
      <c r="C1238" s="33"/>
      <c r="D1238" s="17"/>
    </row>
    <row x14ac:dyDescent="0.25" r="1239" customHeight="1" ht="18.75">
      <c r="A1239" s="1"/>
      <c r="B1239" s="3"/>
      <c r="C1239" s="33"/>
      <c r="D1239" s="17"/>
    </row>
    <row x14ac:dyDescent="0.25" r="1240" customHeight="1" ht="18.75">
      <c r="A1240" s="1"/>
      <c r="B1240" s="3"/>
      <c r="C1240" s="33"/>
      <c r="D1240" s="17"/>
    </row>
    <row x14ac:dyDescent="0.25" r="1241" customHeight="1" ht="18.75">
      <c r="A1241" s="1"/>
      <c r="B1241" s="3"/>
      <c r="C1241" s="33"/>
      <c r="D1241" s="17"/>
    </row>
    <row x14ac:dyDescent="0.25" r="1242" customHeight="1" ht="18.75">
      <c r="A1242" s="1"/>
      <c r="B1242" s="3"/>
      <c r="C1242" s="33"/>
      <c r="D1242" s="17"/>
    </row>
    <row x14ac:dyDescent="0.25" r="1243" customHeight="1" ht="18.75">
      <c r="A1243" s="1"/>
      <c r="B1243" s="3"/>
      <c r="C1243" s="33"/>
      <c r="D1243" s="17"/>
    </row>
    <row x14ac:dyDescent="0.25" r="1244" customHeight="1" ht="18.75">
      <c r="A1244" s="1"/>
      <c r="B1244" s="3"/>
      <c r="C1244" s="33"/>
      <c r="D1244" s="17"/>
    </row>
    <row x14ac:dyDescent="0.25" r="1245" customHeight="1" ht="18.75">
      <c r="A1245" s="1"/>
      <c r="B1245" s="3"/>
      <c r="C1245" s="33"/>
      <c r="D1245" s="17"/>
    </row>
    <row x14ac:dyDescent="0.25" r="1246" customHeight="1" ht="18.75">
      <c r="A1246" s="1"/>
      <c r="B1246" s="3"/>
      <c r="C1246" s="33"/>
      <c r="D1246" s="17"/>
    </row>
    <row x14ac:dyDescent="0.25" r="1247" customHeight="1" ht="18.75">
      <c r="A1247" s="1"/>
      <c r="B1247" s="3"/>
      <c r="C1247" s="33"/>
      <c r="D1247" s="17"/>
    </row>
    <row x14ac:dyDescent="0.25" r="1248" customHeight="1" ht="18.75">
      <c r="A1248" s="1"/>
      <c r="B1248" s="3"/>
      <c r="C1248" s="33"/>
      <c r="D1248" s="17"/>
    </row>
    <row x14ac:dyDescent="0.25" r="1249" customHeight="1" ht="18.75">
      <c r="A1249" s="1"/>
      <c r="B1249" s="3"/>
      <c r="C1249" s="33"/>
      <c r="D1249" s="17"/>
    </row>
    <row x14ac:dyDescent="0.25" r="1250" customHeight="1" ht="18.75">
      <c r="A1250" s="1"/>
      <c r="B1250" s="3"/>
      <c r="C1250" s="33"/>
      <c r="D1250" s="17"/>
    </row>
    <row x14ac:dyDescent="0.25" r="1251" customHeight="1" ht="18.75">
      <c r="A1251" s="1"/>
      <c r="B1251" s="3"/>
      <c r="C1251" s="33"/>
      <c r="D1251" s="17"/>
    </row>
    <row x14ac:dyDescent="0.25" r="1252" customHeight="1" ht="18.75">
      <c r="A1252" s="1"/>
      <c r="B1252" s="3"/>
      <c r="C1252" s="33"/>
      <c r="D1252" s="17"/>
    </row>
    <row x14ac:dyDescent="0.25" r="1253" customHeight="1" ht="18.75">
      <c r="A1253" s="1"/>
      <c r="B1253" s="3"/>
      <c r="C1253" s="33"/>
      <c r="D1253" s="17"/>
    </row>
    <row x14ac:dyDescent="0.25" r="1254" customHeight="1" ht="18.75">
      <c r="A1254" s="1"/>
      <c r="B1254" s="3"/>
      <c r="C1254" s="33"/>
      <c r="D1254" s="17"/>
    </row>
    <row x14ac:dyDescent="0.25" r="1255" customHeight="1" ht="18.75">
      <c r="A1255" s="1"/>
      <c r="B1255" s="3"/>
      <c r="C1255" s="33"/>
      <c r="D1255" s="17"/>
    </row>
    <row x14ac:dyDescent="0.25" r="1256" customHeight="1" ht="18.75">
      <c r="A1256" s="1"/>
      <c r="B1256" s="3"/>
      <c r="C1256" s="33"/>
      <c r="D1256" s="17"/>
    </row>
    <row x14ac:dyDescent="0.25" r="1257" customHeight="1" ht="18.75">
      <c r="A1257" s="1"/>
      <c r="B1257" s="3"/>
      <c r="C1257" s="33"/>
      <c r="D1257" s="17"/>
    </row>
    <row x14ac:dyDescent="0.25" r="1258" customHeight="1" ht="18.75">
      <c r="A1258" s="1"/>
      <c r="B1258" s="3"/>
      <c r="C1258" s="33"/>
      <c r="D1258" s="17"/>
    </row>
    <row x14ac:dyDescent="0.25" r="1259" customHeight="1" ht="18.75">
      <c r="A1259" s="1"/>
      <c r="B1259" s="3"/>
      <c r="C1259" s="33"/>
      <c r="D1259" s="17"/>
    </row>
    <row x14ac:dyDescent="0.25" r="1260" customHeight="1" ht="18.75">
      <c r="A1260" s="1"/>
      <c r="B1260" s="3"/>
      <c r="C1260" s="33"/>
      <c r="D1260" s="17"/>
    </row>
    <row x14ac:dyDescent="0.25" r="1261" customHeight="1" ht="18.75">
      <c r="A1261" s="1"/>
      <c r="B1261" s="3"/>
      <c r="C1261" s="33"/>
      <c r="D1261" s="17"/>
    </row>
    <row x14ac:dyDescent="0.25" r="1262" customHeight="1" ht="18.75">
      <c r="A1262" s="1"/>
      <c r="B1262" s="3"/>
      <c r="C1262" s="33"/>
      <c r="D1262" s="17"/>
    </row>
    <row x14ac:dyDescent="0.25" r="1263" customHeight="1" ht="18.75">
      <c r="A1263" s="1"/>
      <c r="B1263" s="3"/>
      <c r="C1263" s="33"/>
      <c r="D1263" s="17"/>
    </row>
    <row x14ac:dyDescent="0.25" r="1264" customHeight="1" ht="18.75">
      <c r="A1264" s="1"/>
      <c r="B1264" s="3"/>
      <c r="C1264" s="33"/>
      <c r="D1264" s="17"/>
    </row>
    <row x14ac:dyDescent="0.25" r="1265" customHeight="1" ht="18.75">
      <c r="A1265" s="1"/>
      <c r="B1265" s="3"/>
      <c r="C1265" s="33"/>
      <c r="D1265" s="17"/>
    </row>
    <row x14ac:dyDescent="0.25" r="1266" customHeight="1" ht="18.75">
      <c r="A1266" s="1"/>
      <c r="B1266" s="3"/>
      <c r="C1266" s="33"/>
      <c r="D1266" s="17"/>
    </row>
    <row x14ac:dyDescent="0.25" r="1267" customHeight="1" ht="18.75">
      <c r="A1267" s="1"/>
      <c r="B1267" s="3"/>
      <c r="C1267" s="33"/>
      <c r="D1267" s="17"/>
    </row>
    <row x14ac:dyDescent="0.25" r="1268" customHeight="1" ht="18.75">
      <c r="A1268" s="1"/>
      <c r="B1268" s="3"/>
      <c r="C1268" s="33"/>
      <c r="D1268" s="17"/>
    </row>
    <row x14ac:dyDescent="0.25" r="1269" customHeight="1" ht="18.75">
      <c r="A1269" s="1"/>
      <c r="B1269" s="3"/>
      <c r="C1269" s="33"/>
      <c r="D1269" s="17"/>
    </row>
    <row x14ac:dyDescent="0.25" r="1270" customHeight="1" ht="18.75">
      <c r="A1270" s="1"/>
      <c r="B1270" s="3"/>
      <c r="C1270" s="33"/>
      <c r="D1270" s="17"/>
    </row>
    <row x14ac:dyDescent="0.25" r="1271" customHeight="1" ht="18.75">
      <c r="A1271" s="1"/>
      <c r="B1271" s="3"/>
      <c r="C1271" s="33"/>
      <c r="D1271" s="17"/>
    </row>
    <row x14ac:dyDescent="0.25" r="1272" customHeight="1" ht="18.75">
      <c r="A1272" s="1"/>
      <c r="B1272" s="3"/>
      <c r="C1272" s="33"/>
      <c r="D1272" s="17"/>
    </row>
    <row x14ac:dyDescent="0.25" r="1273" customHeight="1" ht="18.75">
      <c r="A1273" s="1"/>
      <c r="B1273" s="3"/>
      <c r="C1273" s="33"/>
      <c r="D1273" s="17"/>
    </row>
    <row x14ac:dyDescent="0.25" r="1274" customHeight="1" ht="18.75">
      <c r="A1274" s="1"/>
      <c r="B1274" s="3"/>
      <c r="C1274" s="33"/>
      <c r="D1274" s="17"/>
    </row>
    <row x14ac:dyDescent="0.25" r="1275" customHeight="1" ht="18.75">
      <c r="A1275" s="1"/>
      <c r="B1275" s="3"/>
      <c r="C1275" s="33"/>
      <c r="D1275" s="17"/>
    </row>
    <row x14ac:dyDescent="0.25" r="1276" customHeight="1" ht="18.75">
      <c r="A1276" s="1"/>
      <c r="B1276" s="3"/>
      <c r="C1276" s="1"/>
      <c r="D1276" s="17"/>
    </row>
    <row x14ac:dyDescent="0.25" r="1277" customHeight="1" ht="18.75">
      <c r="A1277" s="1"/>
      <c r="B1277" s="3"/>
      <c r="C1277" s="1"/>
      <c r="D1277" s="17"/>
    </row>
    <row x14ac:dyDescent="0.25" r="1278" customHeight="1" ht="18.75">
      <c r="A1278" s="1"/>
      <c r="B1278" s="3"/>
      <c r="C1278" s="1"/>
      <c r="D1278" s="17"/>
    </row>
    <row x14ac:dyDescent="0.25" r="1279" customHeight="1" ht="18.75">
      <c r="A1279" s="1"/>
      <c r="B1279" s="3"/>
      <c r="C1279" s="1"/>
      <c r="D1279" s="17"/>
    </row>
    <row x14ac:dyDescent="0.25" r="1280" customHeight="1" ht="18.75">
      <c r="A1280" s="1"/>
      <c r="B1280" s="3"/>
      <c r="C1280" s="1"/>
      <c r="D1280" s="17"/>
    </row>
    <row x14ac:dyDescent="0.25" r="1281" customHeight="1" ht="18.75">
      <c r="A1281" s="1"/>
      <c r="B1281" s="3"/>
      <c r="C1281" s="1"/>
      <c r="D1281" s="17"/>
    </row>
    <row x14ac:dyDescent="0.25" r="1282" customHeight="1" ht="18.75">
      <c r="A1282" s="1"/>
      <c r="B1282" s="3"/>
      <c r="C1282" s="1"/>
      <c r="D1282" s="17"/>
    </row>
    <row x14ac:dyDescent="0.25" r="1283" customHeight="1" ht="18.75">
      <c r="A1283" s="1"/>
      <c r="B1283" s="3"/>
      <c r="C1283" s="1"/>
      <c r="D1283" s="17"/>
    </row>
    <row x14ac:dyDescent="0.25" r="1284" customHeight="1" ht="18.75">
      <c r="A1284" s="1"/>
      <c r="B1284" s="3"/>
      <c r="C1284" s="1"/>
      <c r="D1284" s="17"/>
    </row>
    <row x14ac:dyDescent="0.25" r="1285" customHeight="1" ht="18.75">
      <c r="A1285" s="1"/>
      <c r="B1285" s="3"/>
      <c r="C1285" s="1"/>
      <c r="D1285" s="17"/>
    </row>
    <row x14ac:dyDescent="0.25" r="1286" customHeight="1" ht="18.75">
      <c r="A1286" s="1"/>
      <c r="B1286" s="3"/>
      <c r="C1286" s="1"/>
      <c r="D1286" s="17"/>
    </row>
    <row x14ac:dyDescent="0.25" r="1287" customHeight="1" ht="18.75">
      <c r="A1287" s="1"/>
      <c r="B1287" s="3"/>
      <c r="C1287" s="1"/>
      <c r="D1287" s="17"/>
    </row>
    <row x14ac:dyDescent="0.25" r="1288" customHeight="1" ht="18.75">
      <c r="A1288" s="1"/>
      <c r="B1288" s="3"/>
      <c r="C1288" s="1"/>
      <c r="D1288" s="17"/>
    </row>
    <row x14ac:dyDescent="0.25" r="1289" customHeight="1" ht="18.75">
      <c r="A1289" s="1"/>
      <c r="B1289" s="3"/>
      <c r="C1289" s="1"/>
      <c r="D1289" s="17"/>
    </row>
    <row x14ac:dyDescent="0.25" r="1290" customHeight="1" ht="18.75">
      <c r="A1290" s="1"/>
      <c r="B1290" s="3"/>
      <c r="C1290" s="1"/>
      <c r="D1290" s="17"/>
    </row>
    <row x14ac:dyDescent="0.25" r="1291" customHeight="1" ht="18.75">
      <c r="A1291" s="1"/>
      <c r="B1291" s="3"/>
      <c r="C1291" s="1"/>
      <c r="D1291" s="17"/>
    </row>
    <row x14ac:dyDescent="0.25" r="1292" customHeight="1" ht="18.75">
      <c r="A1292" s="1"/>
      <c r="B1292" s="3"/>
      <c r="C1292" s="1"/>
      <c r="D1292" s="17"/>
    </row>
    <row x14ac:dyDescent="0.25" r="1293" customHeight="1" ht="18.75">
      <c r="A1293" s="1"/>
      <c r="B1293" s="3"/>
      <c r="C1293" s="1"/>
      <c r="D1293" s="17"/>
    </row>
    <row x14ac:dyDescent="0.25" r="1294" customHeight="1" ht="18.75">
      <c r="A1294" s="1"/>
      <c r="B1294" s="3"/>
      <c r="C1294" s="1"/>
      <c r="D1294" s="17"/>
    </row>
    <row x14ac:dyDescent="0.25" r="1295" customHeight="1" ht="18.75">
      <c r="A1295" s="1"/>
      <c r="B1295" s="3"/>
      <c r="C1295" s="1"/>
      <c r="D1295" s="17"/>
    </row>
    <row x14ac:dyDescent="0.25" r="1296" customHeight="1" ht="18.75">
      <c r="A1296" s="1"/>
      <c r="B1296" s="3"/>
      <c r="C1296" s="1"/>
      <c r="D1296" s="17"/>
    </row>
    <row x14ac:dyDescent="0.25" r="1297" customHeight="1" ht="18.75">
      <c r="A1297" s="1"/>
      <c r="B1297" s="3"/>
      <c r="C1297" s="1"/>
      <c r="D1297" s="17"/>
    </row>
    <row x14ac:dyDescent="0.25" r="1298" customHeight="1" ht="18.75">
      <c r="A1298" s="1"/>
      <c r="B1298" s="3"/>
      <c r="C1298" s="1"/>
      <c r="D1298" s="17"/>
    </row>
    <row x14ac:dyDescent="0.25" r="1299" customHeight="1" ht="18.75">
      <c r="A1299" s="1"/>
      <c r="B1299" s="3"/>
      <c r="C1299" s="1"/>
      <c r="D1299" s="17"/>
    </row>
    <row x14ac:dyDescent="0.25" r="1300" customHeight="1" ht="18.75">
      <c r="A1300" s="1"/>
      <c r="B1300" s="3"/>
      <c r="C1300" s="1"/>
      <c r="D1300" s="17"/>
    </row>
    <row x14ac:dyDescent="0.25" r="1301" customHeight="1" ht="18.75">
      <c r="A1301" s="1"/>
      <c r="B1301" s="3"/>
      <c r="C1301" s="1"/>
      <c r="D1301" s="17"/>
    </row>
    <row x14ac:dyDescent="0.25" r="1302" customHeight="1" ht="18.75">
      <c r="A1302" s="1"/>
      <c r="B1302" s="3"/>
      <c r="C1302" s="1"/>
      <c r="D1302" s="17"/>
    </row>
    <row x14ac:dyDescent="0.25" r="1303" customHeight="1" ht="18.75">
      <c r="A1303" s="1"/>
      <c r="B1303" s="3"/>
      <c r="C1303" s="1"/>
      <c r="D1303" s="17"/>
    </row>
    <row x14ac:dyDescent="0.25" r="1304" customHeight="1" ht="18.75">
      <c r="A1304" s="1"/>
      <c r="B1304" s="3"/>
      <c r="C1304" s="1"/>
      <c r="D1304" s="17"/>
    </row>
    <row x14ac:dyDescent="0.25" r="1305" customHeight="1" ht="18.75">
      <c r="A1305" s="1"/>
      <c r="B1305" s="3"/>
      <c r="C1305" s="1"/>
      <c r="D1305" s="17"/>
    </row>
    <row x14ac:dyDescent="0.25" r="1306" customHeight="1" ht="18.75">
      <c r="A1306" s="1"/>
      <c r="B1306" s="3"/>
      <c r="C1306" s="1"/>
      <c r="D1306" s="17"/>
    </row>
    <row x14ac:dyDescent="0.25" r="1307" customHeight="1" ht="18.75">
      <c r="A1307" s="1"/>
      <c r="B1307" s="3"/>
      <c r="C1307" s="1"/>
      <c r="D1307" s="17"/>
    </row>
    <row x14ac:dyDescent="0.25" r="1308" customHeight="1" ht="18.75">
      <c r="A1308" s="1"/>
      <c r="B1308" s="3"/>
      <c r="C1308" s="1"/>
      <c r="D1308" s="17"/>
    </row>
    <row x14ac:dyDescent="0.25" r="1309" customHeight="1" ht="18.75">
      <c r="A1309" s="1"/>
      <c r="B1309" s="3"/>
      <c r="C1309" s="1"/>
      <c r="D1309" s="17"/>
    </row>
    <row x14ac:dyDescent="0.25" r="1310" customHeight="1" ht="18.75">
      <c r="A1310" s="1"/>
      <c r="B1310" s="3"/>
      <c r="C1310" s="1"/>
      <c r="D1310" s="17"/>
    </row>
    <row x14ac:dyDescent="0.25" r="1311" customHeight="1" ht="18.75">
      <c r="A1311" s="1"/>
      <c r="B1311" s="3"/>
      <c r="C1311" s="1"/>
      <c r="D1311" s="17"/>
    </row>
    <row x14ac:dyDescent="0.25" r="1312" customHeight="1" ht="18.75">
      <c r="A1312" s="1"/>
      <c r="B1312" s="3"/>
      <c r="C1312" s="1"/>
      <c r="D1312" s="17"/>
    </row>
    <row x14ac:dyDescent="0.25" r="1313" customHeight="1" ht="18.75">
      <c r="A1313" s="1"/>
      <c r="B1313" s="3"/>
      <c r="C1313" s="1"/>
      <c r="D1313" s="17"/>
    </row>
    <row x14ac:dyDescent="0.25" r="1314" customHeight="1" ht="18.75">
      <c r="A1314" s="1"/>
      <c r="B1314" s="3"/>
      <c r="C1314" s="1"/>
      <c r="D1314" s="17"/>
    </row>
    <row x14ac:dyDescent="0.25" r="1315" customHeight="1" ht="18.75">
      <c r="A1315" s="1"/>
      <c r="B1315" s="3"/>
      <c r="C1315" s="1"/>
      <c r="D1315" s="17"/>
    </row>
    <row x14ac:dyDescent="0.25" r="1316" customHeight="1" ht="18.75">
      <c r="A1316" s="1"/>
      <c r="B1316" s="3"/>
      <c r="C1316" s="1"/>
      <c r="D1316" s="17"/>
    </row>
    <row x14ac:dyDescent="0.25" r="1317" customHeight="1" ht="18.75">
      <c r="A1317" s="1"/>
      <c r="B1317" s="3"/>
      <c r="C1317" s="1"/>
      <c r="D1317" s="17"/>
    </row>
    <row x14ac:dyDescent="0.25" r="1318" customHeight="1" ht="18.75">
      <c r="A1318" s="1"/>
      <c r="B1318" s="3"/>
      <c r="C1318" s="1"/>
      <c r="D1318" s="17"/>
    </row>
    <row x14ac:dyDescent="0.25" r="1319" customHeight="1" ht="18.75">
      <c r="A1319" s="1"/>
      <c r="B1319" s="3"/>
      <c r="C1319" s="1"/>
      <c r="D1319" s="17"/>
    </row>
    <row x14ac:dyDescent="0.25" r="1320" customHeight="1" ht="18.75">
      <c r="A1320" s="1"/>
      <c r="B1320" s="3"/>
      <c r="C1320" s="1"/>
      <c r="D1320" s="17"/>
    </row>
    <row x14ac:dyDescent="0.25" r="1321" customHeight="1" ht="18.75">
      <c r="A1321" s="1"/>
      <c r="B1321" s="3"/>
      <c r="C1321" s="1"/>
      <c r="D1321" s="17"/>
    </row>
    <row x14ac:dyDescent="0.25" r="1322" customHeight="1" ht="18.75">
      <c r="A1322" s="1"/>
      <c r="B1322" s="3"/>
      <c r="C1322" s="1"/>
      <c r="D1322" s="17"/>
    </row>
    <row x14ac:dyDescent="0.25" r="1323" customHeight="1" ht="18.75">
      <c r="A1323" s="1"/>
      <c r="B1323" s="3"/>
      <c r="C1323" s="1"/>
      <c r="D1323" s="17"/>
    </row>
    <row x14ac:dyDescent="0.25" r="1324" customHeight="1" ht="18.75">
      <c r="A1324" s="1"/>
      <c r="B1324" s="3"/>
      <c r="C1324" s="1"/>
      <c r="D1324" s="17"/>
    </row>
    <row x14ac:dyDescent="0.25" r="1325" customHeight="1" ht="18.75">
      <c r="A1325" s="1"/>
      <c r="B1325" s="3"/>
      <c r="C1325" s="1"/>
      <c r="D1325" s="17"/>
    </row>
    <row x14ac:dyDescent="0.25" r="1326" customHeight="1" ht="18.75">
      <c r="A1326" s="1"/>
      <c r="B1326" s="3"/>
      <c r="C1326" s="1"/>
      <c r="D1326" s="17"/>
    </row>
    <row x14ac:dyDescent="0.25" r="1327" customHeight="1" ht="18.75">
      <c r="A1327" s="1"/>
      <c r="B1327" s="3"/>
      <c r="C1327" s="1"/>
      <c r="D1327" s="17"/>
    </row>
    <row x14ac:dyDescent="0.25" r="1328" customHeight="1" ht="18.75">
      <c r="A1328" s="1"/>
      <c r="B1328" s="3"/>
      <c r="C1328" s="1"/>
      <c r="D1328" s="17"/>
    </row>
    <row x14ac:dyDescent="0.25" r="1329" customHeight="1" ht="18.75">
      <c r="A1329" s="1"/>
      <c r="B1329" s="3"/>
      <c r="C1329" s="1"/>
      <c r="D1329" s="17"/>
    </row>
    <row x14ac:dyDescent="0.25" r="1330" customHeight="1" ht="18.75">
      <c r="A1330" s="1"/>
      <c r="B1330" s="3"/>
      <c r="C1330" s="1"/>
      <c r="D1330" s="17"/>
    </row>
    <row x14ac:dyDescent="0.25" r="1331" customHeight="1" ht="18.75">
      <c r="A1331" s="1"/>
      <c r="B1331" s="3"/>
      <c r="C1331" s="1"/>
      <c r="D1331" s="17"/>
    </row>
    <row x14ac:dyDescent="0.25" r="1332" customHeight="1" ht="18.75">
      <c r="A1332" s="1"/>
      <c r="B1332" s="3"/>
      <c r="C1332" s="1"/>
      <c r="D1332" s="17"/>
    </row>
    <row x14ac:dyDescent="0.25" r="1333" customHeight="1" ht="18.75">
      <c r="A1333" s="1"/>
      <c r="B1333" s="3"/>
      <c r="C1333" s="1"/>
      <c r="D1333" s="17"/>
    </row>
    <row x14ac:dyDescent="0.25" r="1334" customHeight="1" ht="18.75">
      <c r="A1334" s="1"/>
      <c r="B1334" s="3"/>
      <c r="C1334" s="1"/>
      <c r="D1334" s="17"/>
    </row>
    <row x14ac:dyDescent="0.25" r="1335" customHeight="1" ht="18.75">
      <c r="A1335" s="1"/>
      <c r="B1335" s="3"/>
      <c r="C1335" s="1"/>
      <c r="D1335" s="17"/>
    </row>
    <row x14ac:dyDescent="0.25" r="1336" customHeight="1" ht="18.75">
      <c r="A1336" s="1"/>
      <c r="B1336" s="3"/>
      <c r="C1336" s="1"/>
      <c r="D1336" s="17"/>
    </row>
    <row x14ac:dyDescent="0.25" r="1337" customHeight="1" ht="18.75">
      <c r="A1337" s="1"/>
      <c r="B1337" s="3"/>
      <c r="C1337" s="1"/>
      <c r="D1337" s="17"/>
    </row>
    <row x14ac:dyDescent="0.25" r="1338" customHeight="1" ht="18.75">
      <c r="A1338" s="1"/>
      <c r="B1338" s="3"/>
      <c r="C1338" s="1"/>
      <c r="D1338" s="17"/>
    </row>
    <row x14ac:dyDescent="0.25" r="1339" customHeight="1" ht="18.75">
      <c r="A1339" s="1"/>
      <c r="B1339" s="3"/>
      <c r="C1339" s="1"/>
      <c r="D1339" s="17"/>
    </row>
    <row x14ac:dyDescent="0.25" r="1340" customHeight="1" ht="18.75">
      <c r="A1340" s="1"/>
      <c r="B1340" s="3"/>
      <c r="C1340" s="1"/>
      <c r="D1340" s="17"/>
    </row>
    <row x14ac:dyDescent="0.25" r="1341" customHeight="1" ht="18.75">
      <c r="A1341" s="1"/>
      <c r="B1341" s="3"/>
      <c r="C1341" s="1"/>
      <c r="D1341" s="17"/>
    </row>
    <row x14ac:dyDescent="0.25" r="1342" customHeight="1" ht="18.75">
      <c r="A1342" s="1"/>
      <c r="B1342" s="3"/>
      <c r="C1342" s="1"/>
      <c r="D1342" s="17"/>
    </row>
    <row x14ac:dyDescent="0.25" r="1343" customHeight="1" ht="18.75">
      <c r="A1343" s="1"/>
      <c r="B1343" s="3"/>
      <c r="C1343" s="1"/>
      <c r="D1343" s="17"/>
    </row>
    <row x14ac:dyDescent="0.25" r="1344" customHeight="1" ht="18.75">
      <c r="A1344" s="1"/>
      <c r="B1344" s="3"/>
      <c r="C1344" s="1"/>
      <c r="D1344" s="17"/>
    </row>
    <row x14ac:dyDescent="0.25" r="1345" customHeight="1" ht="18.75">
      <c r="A1345" s="1"/>
      <c r="B1345" s="3"/>
      <c r="C1345" s="1"/>
      <c r="D1345" s="17"/>
    </row>
    <row x14ac:dyDescent="0.25" r="1346" customHeight="1" ht="18.75">
      <c r="A1346" s="1"/>
      <c r="B1346" s="3"/>
      <c r="C1346" s="1"/>
      <c r="D1346" s="17"/>
    </row>
    <row x14ac:dyDescent="0.25" r="1347" customHeight="1" ht="18.75">
      <c r="A1347" s="1"/>
      <c r="B1347" s="3"/>
      <c r="C1347" s="1"/>
      <c r="D1347" s="17"/>
    </row>
    <row x14ac:dyDescent="0.25" r="1348" customHeight="1" ht="18.75">
      <c r="A1348" s="1"/>
      <c r="B1348" s="3"/>
      <c r="C1348" s="1"/>
      <c r="D1348" s="17"/>
    </row>
    <row x14ac:dyDescent="0.25" r="1349" customHeight="1" ht="18.75">
      <c r="A1349" s="1"/>
      <c r="B1349" s="3"/>
      <c r="C1349" s="1"/>
      <c r="D1349" s="17"/>
    </row>
    <row x14ac:dyDescent="0.25" r="1350" customHeight="1" ht="18.75">
      <c r="A1350" s="1"/>
      <c r="B1350" s="3"/>
      <c r="C1350" s="1"/>
      <c r="D1350" s="17"/>
    </row>
    <row x14ac:dyDescent="0.25" r="1351" customHeight="1" ht="18.75">
      <c r="A1351" s="1"/>
      <c r="B1351" s="3"/>
      <c r="C1351" s="1"/>
      <c r="D1351" s="17"/>
    </row>
    <row x14ac:dyDescent="0.25" r="1352" customHeight="1" ht="18.75">
      <c r="A1352" s="1"/>
      <c r="B1352" s="3"/>
      <c r="C1352" s="1"/>
      <c r="D1352" s="17"/>
    </row>
    <row x14ac:dyDescent="0.25" r="1353" customHeight="1" ht="18.75">
      <c r="A1353" s="1"/>
      <c r="B1353" s="3"/>
      <c r="C1353" s="1"/>
      <c r="D1353" s="17"/>
    </row>
    <row x14ac:dyDescent="0.25" r="1354" customHeight="1" ht="18.75">
      <c r="A1354" s="1"/>
      <c r="B1354" s="3"/>
      <c r="C1354" s="1"/>
      <c r="D1354" s="17"/>
    </row>
    <row x14ac:dyDescent="0.25" r="1355" customHeight="1" ht="18.75">
      <c r="A1355" s="1"/>
      <c r="B1355" s="3"/>
      <c r="C1355" s="1"/>
      <c r="D1355" s="17"/>
    </row>
    <row x14ac:dyDescent="0.25" r="1356" customHeight="1" ht="18.75">
      <c r="A1356" s="1"/>
      <c r="B1356" s="3"/>
      <c r="C1356" s="1"/>
      <c r="D1356" s="17"/>
    </row>
    <row x14ac:dyDescent="0.25" r="1357" customHeight="1" ht="18.75">
      <c r="A1357" s="1"/>
      <c r="B1357" s="3"/>
      <c r="C1357" s="1"/>
      <c r="D1357" s="17"/>
    </row>
    <row x14ac:dyDescent="0.25" r="1358" customHeight="1" ht="18.75">
      <c r="A1358" s="1"/>
      <c r="B1358" s="3"/>
      <c r="C1358" s="1"/>
      <c r="D1358" s="17"/>
    </row>
    <row x14ac:dyDescent="0.25" r="1359" customHeight="1" ht="18.75">
      <c r="A1359" s="1"/>
      <c r="B1359" s="3"/>
      <c r="C1359" s="1"/>
      <c r="D1359" s="17"/>
    </row>
    <row x14ac:dyDescent="0.25" r="1360" customHeight="1" ht="18.75">
      <c r="A1360" s="1"/>
      <c r="B1360" s="3"/>
      <c r="C1360" s="1"/>
      <c r="D1360" s="17"/>
    </row>
    <row x14ac:dyDescent="0.25" r="1361" customHeight="1" ht="18.75">
      <c r="A1361" s="1"/>
      <c r="B1361" s="3"/>
      <c r="C1361" s="1"/>
      <c r="D1361" s="17"/>
    </row>
    <row x14ac:dyDescent="0.25" r="1362" customHeight="1" ht="18.75">
      <c r="A1362" s="1"/>
      <c r="B1362" s="3"/>
      <c r="C1362" s="1"/>
      <c r="D1362" s="17"/>
    </row>
    <row x14ac:dyDescent="0.25" r="1363" customHeight="1" ht="18.75">
      <c r="A1363" s="1"/>
      <c r="B1363" s="3"/>
      <c r="C1363" s="1"/>
      <c r="D1363" s="17"/>
    </row>
    <row x14ac:dyDescent="0.25" r="1364" customHeight="1" ht="18.75">
      <c r="A1364" s="1"/>
      <c r="B1364" s="3"/>
      <c r="C1364" s="1"/>
      <c r="D1364" s="17"/>
    </row>
    <row x14ac:dyDescent="0.25" r="1365" customHeight="1" ht="18.75">
      <c r="A1365" s="1"/>
      <c r="B1365" s="3"/>
      <c r="C1365" s="1"/>
      <c r="D1365" s="17"/>
    </row>
    <row x14ac:dyDescent="0.25" r="1366" customHeight="1" ht="18.75">
      <c r="A1366" s="1"/>
      <c r="B1366" s="3"/>
      <c r="C1366" s="1"/>
      <c r="D1366" s="17"/>
    </row>
    <row x14ac:dyDescent="0.25" r="1367" customHeight="1" ht="18.75">
      <c r="A1367" s="1"/>
      <c r="B1367" s="3"/>
      <c r="C1367" s="1"/>
      <c r="D1367" s="17"/>
    </row>
    <row x14ac:dyDescent="0.25" r="1368" customHeight="1" ht="18.75">
      <c r="A1368" s="1"/>
      <c r="B1368" s="3"/>
      <c r="C1368" s="1"/>
      <c r="D1368" s="17"/>
    </row>
    <row x14ac:dyDescent="0.25" r="1369" customHeight="1" ht="18.75">
      <c r="A1369" s="1"/>
      <c r="B1369" s="3"/>
      <c r="C1369" s="1"/>
      <c r="D1369" s="17"/>
    </row>
    <row x14ac:dyDescent="0.25" r="1370" customHeight="1" ht="18.75">
      <c r="A1370" s="1"/>
      <c r="B1370" s="3"/>
      <c r="C1370" s="1"/>
      <c r="D1370" s="17"/>
    </row>
    <row x14ac:dyDescent="0.25" r="1371" customHeight="1" ht="18.75">
      <c r="A1371" s="1"/>
      <c r="B1371" s="3"/>
      <c r="C1371" s="1"/>
      <c r="D1371" s="17"/>
    </row>
    <row x14ac:dyDescent="0.25" r="1372" customHeight="1" ht="18.75">
      <c r="A1372" s="1"/>
      <c r="B1372" s="3"/>
      <c r="C1372" s="1"/>
      <c r="D1372" s="17"/>
    </row>
    <row x14ac:dyDescent="0.25" r="1373" customHeight="1" ht="18.75">
      <c r="A1373" s="1"/>
      <c r="B1373" s="3"/>
      <c r="C1373" s="1"/>
      <c r="D1373" s="17"/>
    </row>
    <row x14ac:dyDescent="0.25" r="1374" customHeight="1" ht="18.75">
      <c r="A1374" s="1"/>
      <c r="B1374" s="3"/>
      <c r="C1374" s="1"/>
      <c r="D1374" s="17"/>
    </row>
    <row x14ac:dyDescent="0.25" r="1375" customHeight="1" ht="18.75">
      <c r="A1375" s="1"/>
      <c r="B1375" s="3"/>
      <c r="C1375" s="1"/>
      <c r="D1375" s="17"/>
    </row>
    <row x14ac:dyDescent="0.25" r="1376" customHeight="1" ht="18.75">
      <c r="A1376" s="1"/>
      <c r="B1376" s="3"/>
      <c r="C1376" s="1"/>
      <c r="D1376" s="17"/>
    </row>
    <row x14ac:dyDescent="0.25" r="1377" customHeight="1" ht="18.75">
      <c r="A1377" s="1"/>
      <c r="B1377" s="3"/>
      <c r="C1377" s="1"/>
      <c r="D1377" s="17"/>
    </row>
    <row x14ac:dyDescent="0.25" r="1378" customHeight="1" ht="18.75">
      <c r="A1378" s="1"/>
      <c r="B1378" s="3"/>
      <c r="C1378" s="1"/>
      <c r="D1378" s="17"/>
    </row>
    <row x14ac:dyDescent="0.25" r="1379" customHeight="1" ht="18.75">
      <c r="A1379" s="1"/>
      <c r="B1379" s="3"/>
      <c r="C1379" s="1"/>
      <c r="D1379" s="17"/>
    </row>
    <row x14ac:dyDescent="0.25" r="1380" customHeight="1" ht="18.75">
      <c r="A1380" s="1"/>
      <c r="B1380" s="3"/>
      <c r="C1380" s="1"/>
      <c r="D1380" s="17"/>
    </row>
    <row x14ac:dyDescent="0.25" r="1381" customHeight="1" ht="18.75">
      <c r="A1381" s="1"/>
      <c r="B1381" s="3"/>
      <c r="C1381" s="1"/>
      <c r="D1381" s="17"/>
    </row>
    <row x14ac:dyDescent="0.25" r="1382" customHeight="1" ht="18.75">
      <c r="A1382" s="1"/>
      <c r="B1382" s="3"/>
      <c r="C1382" s="1"/>
      <c r="D1382" s="17"/>
    </row>
    <row x14ac:dyDescent="0.25" r="1383" customHeight="1" ht="18.75">
      <c r="A1383" s="1"/>
      <c r="B1383" s="3"/>
      <c r="C1383" s="1"/>
      <c r="D1383" s="17"/>
    </row>
    <row x14ac:dyDescent="0.25" r="1384" customHeight="1" ht="18.75">
      <c r="A1384" s="1"/>
      <c r="B1384" s="3"/>
      <c r="C1384" s="1"/>
      <c r="D1384" s="17"/>
    </row>
    <row x14ac:dyDescent="0.25" r="1385" customHeight="1" ht="18.75">
      <c r="A1385" s="1"/>
      <c r="B1385" s="3"/>
      <c r="C1385" s="1"/>
      <c r="D1385" s="17"/>
    </row>
    <row x14ac:dyDescent="0.25" r="1386" customHeight="1" ht="18.75">
      <c r="A1386" s="1"/>
      <c r="B1386" s="3"/>
      <c r="C1386" s="1"/>
      <c r="D1386" s="17"/>
    </row>
    <row x14ac:dyDescent="0.25" r="1387" customHeight="1" ht="18.75">
      <c r="A1387" s="1"/>
      <c r="B1387" s="3"/>
      <c r="C1387" s="1"/>
      <c r="D1387" s="17"/>
    </row>
    <row x14ac:dyDescent="0.25" r="1388" customHeight="1" ht="18.75">
      <c r="A1388" s="1"/>
      <c r="B1388" s="3"/>
      <c r="C1388" s="1"/>
      <c r="D1388" s="17"/>
    </row>
    <row x14ac:dyDescent="0.25" r="1389" customHeight="1" ht="18.75">
      <c r="A1389" s="1"/>
      <c r="B1389" s="3"/>
      <c r="C1389" s="1"/>
      <c r="D1389" s="17"/>
    </row>
    <row x14ac:dyDescent="0.25" r="1390" customHeight="1" ht="18.75">
      <c r="A1390" s="1"/>
      <c r="B1390" s="3"/>
      <c r="C1390" s="1"/>
      <c r="D1390" s="17"/>
    </row>
    <row x14ac:dyDescent="0.25" r="1391" customHeight="1" ht="18.75">
      <c r="A1391" s="1"/>
      <c r="B1391" s="3"/>
      <c r="C1391" s="1"/>
      <c r="D1391" s="17"/>
    </row>
    <row x14ac:dyDescent="0.25" r="1392" customHeight="1" ht="18.75">
      <c r="A1392" s="1"/>
      <c r="B1392" s="3"/>
      <c r="C1392" s="1"/>
      <c r="D1392" s="17"/>
    </row>
    <row x14ac:dyDescent="0.25" r="1393" customHeight="1" ht="18.75">
      <c r="A1393" s="1"/>
      <c r="B1393" s="3"/>
      <c r="C1393" s="1"/>
      <c r="D1393" s="17"/>
    </row>
    <row x14ac:dyDescent="0.25" r="1394" customHeight="1" ht="18.75">
      <c r="A1394" s="1"/>
      <c r="B1394" s="3"/>
      <c r="C1394" s="1"/>
      <c r="D1394" s="17"/>
    </row>
    <row x14ac:dyDescent="0.25" r="1395" customHeight="1" ht="18.75">
      <c r="A1395" s="1"/>
      <c r="B1395" s="3"/>
      <c r="C1395" s="1"/>
      <c r="D1395" s="17"/>
    </row>
    <row x14ac:dyDescent="0.25" r="1396" customHeight="1" ht="18.75">
      <c r="A1396" s="1"/>
      <c r="B1396" s="3"/>
      <c r="C1396" s="1"/>
      <c r="D1396" s="17"/>
    </row>
    <row x14ac:dyDescent="0.25" r="1397" customHeight="1" ht="18.75">
      <c r="A1397" s="1"/>
      <c r="B1397" s="3"/>
      <c r="C1397" s="1"/>
      <c r="D1397" s="17"/>
    </row>
    <row x14ac:dyDescent="0.25" r="1398" customHeight="1" ht="18.75">
      <c r="A1398" s="1"/>
      <c r="B1398" s="3"/>
      <c r="C1398" s="1"/>
      <c r="D1398" s="17"/>
    </row>
    <row x14ac:dyDescent="0.25" r="1399" customHeight="1" ht="18.75">
      <c r="A1399" s="1"/>
      <c r="B1399" s="3"/>
      <c r="C1399" s="1"/>
      <c r="D1399" s="17"/>
    </row>
    <row x14ac:dyDescent="0.25" r="1400" customHeight="1" ht="18.75">
      <c r="A1400" s="1"/>
      <c r="B1400" s="3"/>
      <c r="C1400" s="1"/>
      <c r="D1400" s="17"/>
    </row>
    <row x14ac:dyDescent="0.25" r="1401" customHeight="1" ht="18.75">
      <c r="A1401" s="1"/>
      <c r="B1401" s="3"/>
      <c r="C1401" s="1"/>
      <c r="D1401" s="17"/>
    </row>
    <row x14ac:dyDescent="0.25" r="1402" customHeight="1" ht="18.75">
      <c r="A1402" s="1"/>
      <c r="B1402" s="3"/>
      <c r="C1402" s="1"/>
      <c r="D1402" s="17"/>
    </row>
    <row x14ac:dyDescent="0.25" r="1403" customHeight="1" ht="18.75">
      <c r="A1403" s="1"/>
      <c r="B1403" s="3"/>
      <c r="C1403" s="1"/>
      <c r="D1403" s="17"/>
    </row>
    <row x14ac:dyDescent="0.25" r="1404" customHeight="1" ht="18.75">
      <c r="A1404" s="1"/>
      <c r="B1404" s="3"/>
      <c r="C1404" s="1"/>
      <c r="D1404" s="17"/>
    </row>
    <row x14ac:dyDescent="0.25" r="1405" customHeight="1" ht="18.75">
      <c r="A1405" s="1"/>
      <c r="B1405" s="3"/>
      <c r="C1405" s="1"/>
      <c r="D1405" s="17"/>
    </row>
    <row x14ac:dyDescent="0.25" r="1406" customHeight="1" ht="18.75">
      <c r="A1406" s="1"/>
      <c r="B1406" s="3"/>
      <c r="C1406" s="1"/>
      <c r="D1406" s="17"/>
    </row>
    <row x14ac:dyDescent="0.25" r="1407" customHeight="1" ht="18.75">
      <c r="A1407" s="1"/>
      <c r="B1407" s="3"/>
      <c r="C1407" s="1"/>
      <c r="D1407" s="17"/>
    </row>
    <row x14ac:dyDescent="0.25" r="1408" customHeight="1" ht="18.75">
      <c r="A1408" s="1"/>
      <c r="B1408" s="3"/>
      <c r="C1408" s="1"/>
      <c r="D1408" s="17"/>
    </row>
    <row x14ac:dyDescent="0.25" r="1409" customHeight="1" ht="18.75">
      <c r="A1409" s="1"/>
      <c r="B1409" s="3"/>
      <c r="C1409" s="1"/>
      <c r="D1409" s="17"/>
    </row>
    <row x14ac:dyDescent="0.25" r="1410" customHeight="1" ht="18.75">
      <c r="A1410" s="1"/>
      <c r="B1410" s="3"/>
      <c r="C1410" s="1"/>
      <c r="D1410" s="17"/>
    </row>
    <row x14ac:dyDescent="0.25" r="1411" customHeight="1" ht="18.75">
      <c r="A1411" s="1"/>
      <c r="B1411" s="3"/>
      <c r="C1411" s="1"/>
      <c r="D1411" s="17"/>
    </row>
    <row x14ac:dyDescent="0.25" r="1412" customHeight="1" ht="18.75">
      <c r="A1412" s="1"/>
      <c r="B1412" s="3"/>
      <c r="C1412" s="1"/>
      <c r="D1412" s="17"/>
    </row>
    <row x14ac:dyDescent="0.25" r="1413" customHeight="1" ht="18.75">
      <c r="A1413" s="1"/>
      <c r="B1413" s="3"/>
      <c r="C1413" s="1"/>
      <c r="D1413" s="17"/>
    </row>
    <row x14ac:dyDescent="0.25" r="1414" customHeight="1" ht="18.75">
      <c r="A1414" s="1"/>
      <c r="B1414" s="3"/>
      <c r="C1414" s="1"/>
      <c r="D1414" s="17"/>
    </row>
    <row x14ac:dyDescent="0.25" r="1415" customHeight="1" ht="18.75">
      <c r="A1415" s="1"/>
      <c r="B1415" s="3"/>
      <c r="C1415" s="1"/>
      <c r="D1415" s="17"/>
    </row>
    <row x14ac:dyDescent="0.25" r="1416" customHeight="1" ht="18.75">
      <c r="A1416" s="1"/>
      <c r="B1416" s="3"/>
      <c r="C1416" s="1"/>
      <c r="D1416" s="17"/>
    </row>
    <row x14ac:dyDescent="0.25" r="1417" customHeight="1" ht="18.75">
      <c r="A1417" s="1"/>
      <c r="B1417" s="3"/>
      <c r="C1417" s="1"/>
      <c r="D1417" s="17"/>
    </row>
    <row x14ac:dyDescent="0.25" r="1418" customHeight="1" ht="18.75">
      <c r="A1418" s="1"/>
      <c r="B1418" s="3"/>
      <c r="C1418" s="1"/>
      <c r="D1418" s="17"/>
    </row>
    <row x14ac:dyDescent="0.25" r="1419" customHeight="1" ht="18.75">
      <c r="A1419" s="1"/>
      <c r="B1419" s="3"/>
      <c r="C1419" s="1"/>
      <c r="D1419" s="17"/>
    </row>
    <row x14ac:dyDescent="0.25" r="1420" customHeight="1" ht="18.75">
      <c r="A1420" s="1"/>
      <c r="B1420" s="3"/>
      <c r="C1420" s="1"/>
      <c r="D1420" s="17"/>
    </row>
    <row x14ac:dyDescent="0.25" r="1421" customHeight="1" ht="18.75">
      <c r="A1421" s="1"/>
      <c r="B1421" s="3"/>
      <c r="C1421" s="1"/>
      <c r="D1421" s="17"/>
    </row>
    <row x14ac:dyDescent="0.25" r="1422" customHeight="1" ht="18.75">
      <c r="A1422" s="1"/>
      <c r="B1422" s="3"/>
      <c r="C1422" s="1"/>
      <c r="D1422" s="17"/>
    </row>
    <row x14ac:dyDescent="0.25" r="1423" customHeight="1" ht="18.75">
      <c r="A1423" s="1"/>
      <c r="B1423" s="3"/>
      <c r="C1423" s="1"/>
      <c r="D1423" s="17"/>
    </row>
    <row x14ac:dyDescent="0.25" r="1424" customHeight="1" ht="18.75">
      <c r="A1424" s="1"/>
      <c r="B1424" s="3"/>
      <c r="C1424" s="1"/>
      <c r="D1424" s="17"/>
    </row>
    <row x14ac:dyDescent="0.25" r="1425" customHeight="1" ht="18.75">
      <c r="A1425" s="1"/>
      <c r="B1425" s="3"/>
      <c r="C1425" s="1"/>
      <c r="D1425" s="17"/>
    </row>
    <row x14ac:dyDescent="0.25" r="1426" customHeight="1" ht="18.75">
      <c r="A1426" s="1"/>
      <c r="B1426" s="3"/>
      <c r="C1426" s="1"/>
      <c r="D1426" s="17"/>
    </row>
    <row x14ac:dyDescent="0.25" r="1427" customHeight="1" ht="18.75">
      <c r="A1427" s="1"/>
      <c r="B1427" s="3"/>
      <c r="C1427" s="1"/>
      <c r="D1427" s="17"/>
    </row>
    <row x14ac:dyDescent="0.25" r="1428" customHeight="1" ht="18.75">
      <c r="A1428" s="1"/>
      <c r="B1428" s="3"/>
      <c r="C1428" s="1"/>
      <c r="D1428" s="17"/>
    </row>
    <row x14ac:dyDescent="0.25" r="1429" customHeight="1" ht="18.75">
      <c r="A1429" s="1"/>
      <c r="B1429" s="3"/>
      <c r="C1429" s="1"/>
      <c r="D1429" s="17"/>
    </row>
    <row x14ac:dyDescent="0.25" r="1430" customHeight="1" ht="18.75">
      <c r="A1430" s="1"/>
      <c r="B1430" s="3"/>
      <c r="C1430" s="1"/>
      <c r="D1430" s="17"/>
    </row>
    <row x14ac:dyDescent="0.25" r="1431" customHeight="1" ht="18.75">
      <c r="A1431" s="1"/>
      <c r="B1431" s="3"/>
      <c r="C1431" s="1"/>
      <c r="D1431" s="17"/>
    </row>
    <row x14ac:dyDescent="0.25" r="1432" customHeight="1" ht="18.75">
      <c r="A1432" s="1"/>
      <c r="B1432" s="3"/>
      <c r="C1432" s="1"/>
      <c r="D1432" s="17"/>
    </row>
    <row x14ac:dyDescent="0.25" r="1433" customHeight="1" ht="18.75">
      <c r="A1433" s="1"/>
      <c r="B1433" s="3"/>
      <c r="C1433" s="1"/>
      <c r="D1433" s="17"/>
    </row>
    <row x14ac:dyDescent="0.25" r="1434" customHeight="1" ht="18.75">
      <c r="A1434" s="1"/>
      <c r="B1434" s="3"/>
      <c r="C1434" s="1"/>
      <c r="D1434" s="17"/>
    </row>
    <row x14ac:dyDescent="0.25" r="1435" customHeight="1" ht="18.75">
      <c r="A1435" s="1"/>
      <c r="B1435" s="3"/>
      <c r="C1435" s="1"/>
      <c r="D1435" s="17"/>
    </row>
    <row x14ac:dyDescent="0.25" r="1436" customHeight="1" ht="18.75">
      <c r="A1436" s="1"/>
      <c r="B1436" s="3"/>
      <c r="C1436" s="1"/>
      <c r="D1436" s="17"/>
    </row>
    <row x14ac:dyDescent="0.25" r="1437" customHeight="1" ht="18.75">
      <c r="A1437" s="1"/>
      <c r="B1437" s="3"/>
      <c r="C1437" s="1"/>
      <c r="D1437" s="17"/>
    </row>
    <row x14ac:dyDescent="0.25" r="1438" customHeight="1" ht="18.75">
      <c r="A1438" s="1"/>
      <c r="B1438" s="3"/>
      <c r="C1438" s="1"/>
      <c r="D1438" s="17"/>
    </row>
    <row x14ac:dyDescent="0.25" r="1439" customHeight="1" ht="18.75">
      <c r="A1439" s="1"/>
      <c r="B1439" s="3"/>
      <c r="C1439" s="1"/>
      <c r="D1439" s="17"/>
    </row>
    <row x14ac:dyDescent="0.25" r="1440" customHeight="1" ht="18.75">
      <c r="A1440" s="1"/>
      <c r="B1440" s="3"/>
      <c r="C1440" s="1"/>
      <c r="D1440" s="17"/>
    </row>
    <row x14ac:dyDescent="0.25" r="1441" customHeight="1" ht="18.75">
      <c r="A1441" s="1"/>
      <c r="B1441" s="3"/>
      <c r="C1441" s="1"/>
      <c r="D1441" s="17"/>
    </row>
    <row x14ac:dyDescent="0.25" r="1442" customHeight="1" ht="18.75">
      <c r="A1442" s="1"/>
      <c r="B1442" s="3"/>
      <c r="C1442" s="1"/>
      <c r="D1442" s="17"/>
    </row>
    <row x14ac:dyDescent="0.25" r="1443" customHeight="1" ht="18.75">
      <c r="A1443" s="1"/>
      <c r="B1443" s="3"/>
      <c r="C1443" s="1"/>
      <c r="D1443" s="17"/>
    </row>
    <row x14ac:dyDescent="0.25" r="1444" customHeight="1" ht="18.75">
      <c r="A1444" s="1"/>
      <c r="B1444" s="3"/>
      <c r="C1444" s="1"/>
      <c r="D1444" s="17"/>
    </row>
    <row x14ac:dyDescent="0.25" r="1445" customHeight="1" ht="18.75">
      <c r="A1445" s="1"/>
      <c r="B1445" s="3"/>
      <c r="C1445" s="1"/>
      <c r="D1445" s="17"/>
    </row>
    <row x14ac:dyDescent="0.25" r="1446" customHeight="1" ht="18.75">
      <c r="A1446" s="1"/>
      <c r="B1446" s="3"/>
      <c r="C1446" s="1"/>
      <c r="D1446" s="17"/>
    </row>
    <row x14ac:dyDescent="0.25" r="1447" customHeight="1" ht="18.75">
      <c r="A1447" s="1"/>
      <c r="B1447" s="3"/>
      <c r="C1447" s="1"/>
      <c r="D1447" s="17"/>
    </row>
    <row x14ac:dyDescent="0.25" r="1448" customHeight="1" ht="18.75">
      <c r="A1448" s="1"/>
      <c r="B1448" s="3"/>
      <c r="C1448" s="1"/>
      <c r="D1448" s="17"/>
    </row>
    <row x14ac:dyDescent="0.25" r="1449" customHeight="1" ht="18.75">
      <c r="A1449" s="1"/>
      <c r="B1449" s="3"/>
      <c r="C1449" s="1"/>
      <c r="D1449" s="17"/>
    </row>
    <row x14ac:dyDescent="0.25" r="1450" customHeight="1" ht="18.75">
      <c r="A1450" s="1"/>
      <c r="B1450" s="3"/>
      <c r="C1450" s="1"/>
      <c r="D1450" s="17"/>
    </row>
    <row x14ac:dyDescent="0.25" r="1451" customHeight="1" ht="18.75">
      <c r="A1451" s="1"/>
      <c r="B1451" s="3"/>
      <c r="C1451" s="1"/>
      <c r="D1451" s="17"/>
    </row>
    <row x14ac:dyDescent="0.25" r="1452" customHeight="1" ht="18.75">
      <c r="A1452" s="1"/>
      <c r="B1452" s="3"/>
      <c r="C1452" s="1"/>
      <c r="D1452" s="17"/>
    </row>
    <row x14ac:dyDescent="0.25" r="1453" customHeight="1" ht="18.75">
      <c r="A1453" s="1"/>
      <c r="B1453" s="3"/>
      <c r="C1453" s="1"/>
      <c r="D1453" s="17"/>
    </row>
    <row x14ac:dyDescent="0.25" r="1454" customHeight="1" ht="18.75">
      <c r="A1454" s="1"/>
      <c r="B1454" s="3"/>
      <c r="C1454" s="1"/>
      <c r="D1454" s="17"/>
    </row>
    <row x14ac:dyDescent="0.25" r="1455" customHeight="1" ht="18.75">
      <c r="A1455" s="1"/>
      <c r="B1455" s="3"/>
      <c r="C1455" s="1"/>
      <c r="D1455" s="17"/>
    </row>
    <row x14ac:dyDescent="0.25" r="1456" customHeight="1" ht="18.75">
      <c r="A1456" s="1"/>
      <c r="B1456" s="3"/>
      <c r="C1456" s="1"/>
      <c r="D1456" s="17"/>
    </row>
    <row x14ac:dyDescent="0.25" r="1457" customHeight="1" ht="18.75">
      <c r="A1457" s="1"/>
      <c r="B1457" s="3"/>
      <c r="C1457" s="1"/>
      <c r="D1457" s="17"/>
    </row>
    <row x14ac:dyDescent="0.25" r="1458" customHeight="1" ht="18.75">
      <c r="A1458" s="1"/>
      <c r="B1458" s="3"/>
      <c r="C1458" s="1"/>
      <c r="D1458" s="17"/>
    </row>
    <row x14ac:dyDescent="0.25" r="1459" customHeight="1" ht="18.75">
      <c r="A1459" s="1"/>
      <c r="B1459" s="3"/>
      <c r="C1459" s="1"/>
      <c r="D1459" s="17"/>
    </row>
    <row x14ac:dyDescent="0.25" r="1460" customHeight="1" ht="18.75">
      <c r="A1460" s="1"/>
      <c r="B1460" s="3"/>
      <c r="C1460" s="1"/>
      <c r="D1460" s="17"/>
    </row>
    <row x14ac:dyDescent="0.25" r="1461" customHeight="1" ht="18.75">
      <c r="A1461" s="1"/>
      <c r="B1461" s="3"/>
      <c r="C1461" s="1"/>
      <c r="D1461" s="17"/>
    </row>
    <row x14ac:dyDescent="0.25" r="1462" customHeight="1" ht="18.75">
      <c r="A1462" s="1"/>
      <c r="B1462" s="3"/>
      <c r="C1462" s="1"/>
      <c r="D1462" s="17"/>
    </row>
    <row x14ac:dyDescent="0.25" r="1463" customHeight="1" ht="18.75">
      <c r="A1463" s="1"/>
      <c r="B1463" s="3"/>
      <c r="C1463" s="1"/>
      <c r="D1463" s="17"/>
    </row>
    <row x14ac:dyDescent="0.25" r="1464" customHeight="1" ht="18.75">
      <c r="A1464" s="1"/>
      <c r="B1464" s="3"/>
      <c r="C1464" s="1"/>
      <c r="D1464" s="17"/>
    </row>
    <row x14ac:dyDescent="0.25" r="1465" customHeight="1" ht="18.75">
      <c r="A1465" s="1"/>
      <c r="B1465" s="3"/>
      <c r="C1465" s="1"/>
      <c r="D1465" s="17"/>
    </row>
    <row x14ac:dyDescent="0.25" r="1466" customHeight="1" ht="18.75">
      <c r="A1466" s="1"/>
      <c r="B1466" s="3"/>
      <c r="C1466" s="1"/>
      <c r="D1466" s="17"/>
    </row>
    <row x14ac:dyDescent="0.25" r="1467" customHeight="1" ht="18.75">
      <c r="A1467" s="1"/>
      <c r="B1467" s="3"/>
      <c r="C1467" s="1"/>
      <c r="D1467" s="17"/>
    </row>
    <row x14ac:dyDescent="0.25" r="1468" customHeight="1" ht="18.75">
      <c r="A1468" s="1"/>
      <c r="B1468" s="3"/>
      <c r="C1468" s="1"/>
      <c r="D1468" s="17"/>
    </row>
    <row x14ac:dyDescent="0.25" r="1469" customHeight="1" ht="18.75">
      <c r="A1469" s="1"/>
      <c r="B1469" s="3"/>
      <c r="C1469" s="1"/>
      <c r="D1469" s="17"/>
    </row>
    <row x14ac:dyDescent="0.25" r="1470" customHeight="1" ht="18.75">
      <c r="A1470" s="1"/>
      <c r="B1470" s="3"/>
      <c r="C1470" s="1"/>
      <c r="D1470" s="17"/>
    </row>
    <row x14ac:dyDescent="0.25" r="1471" customHeight="1" ht="18.75">
      <c r="A1471" s="1"/>
      <c r="B1471" s="3"/>
      <c r="C1471" s="1"/>
      <c r="D1471" s="17"/>
    </row>
    <row x14ac:dyDescent="0.25" r="1472" customHeight="1" ht="18.75">
      <c r="A1472" s="1"/>
      <c r="B1472" s="3"/>
      <c r="C1472" s="1"/>
      <c r="D1472" s="17"/>
    </row>
    <row x14ac:dyDescent="0.25" r="1473" customHeight="1" ht="18.75">
      <c r="A1473" s="1"/>
      <c r="B1473" s="3"/>
      <c r="C1473" s="1"/>
      <c r="D1473" s="17"/>
    </row>
    <row x14ac:dyDescent="0.25" r="1474" customHeight="1" ht="18.75">
      <c r="A1474" s="1"/>
      <c r="B1474" s="3"/>
      <c r="C1474" s="1"/>
      <c r="D1474" s="17"/>
    </row>
    <row x14ac:dyDescent="0.25" r="1475" customHeight="1" ht="18.75">
      <c r="A1475" s="1"/>
      <c r="B1475" s="3"/>
      <c r="C1475" s="1"/>
      <c r="D1475" s="17"/>
    </row>
    <row x14ac:dyDescent="0.25" r="1476" customHeight="1" ht="18.75">
      <c r="A1476" s="1"/>
      <c r="B1476" s="3"/>
      <c r="C1476" s="1"/>
      <c r="D1476" s="17"/>
    </row>
    <row x14ac:dyDescent="0.25" r="1477" customHeight="1" ht="18.75">
      <c r="A1477" s="1"/>
      <c r="B1477" s="3"/>
      <c r="C1477" s="1"/>
      <c r="D1477" s="17"/>
    </row>
    <row x14ac:dyDescent="0.25" r="1478" customHeight="1" ht="18.75">
      <c r="A1478" s="1"/>
      <c r="B1478" s="3"/>
      <c r="C1478" s="1"/>
      <c r="D1478" s="17"/>
    </row>
    <row x14ac:dyDescent="0.25" r="1479" customHeight="1" ht="18.75">
      <c r="A1479" s="1"/>
      <c r="B1479" s="3"/>
      <c r="C1479" s="1"/>
      <c r="D1479" s="17"/>
    </row>
    <row x14ac:dyDescent="0.25" r="1480" customHeight="1" ht="18.75">
      <c r="A1480" s="1"/>
      <c r="B1480" s="3"/>
      <c r="C1480" s="1"/>
      <c r="D1480" s="17"/>
    </row>
    <row x14ac:dyDescent="0.25" r="1481" customHeight="1" ht="18.75">
      <c r="A1481" s="1"/>
      <c r="B1481" s="3"/>
      <c r="C1481" s="1"/>
      <c r="D1481" s="17"/>
    </row>
    <row x14ac:dyDescent="0.25" r="1482" customHeight="1" ht="18.75">
      <c r="A1482" s="1"/>
      <c r="B1482" s="3"/>
      <c r="C1482" s="1"/>
      <c r="D1482" s="17"/>
    </row>
    <row x14ac:dyDescent="0.25" r="1483" customHeight="1" ht="18.75">
      <c r="A1483" s="1"/>
      <c r="B1483" s="3"/>
      <c r="C1483" s="1"/>
      <c r="D1483" s="17"/>
    </row>
    <row x14ac:dyDescent="0.25" r="1484" customHeight="1" ht="18.75">
      <c r="A1484" s="1"/>
      <c r="B1484" s="3"/>
      <c r="C1484" s="1"/>
      <c r="D1484" s="17"/>
    </row>
    <row x14ac:dyDescent="0.25" r="1485" customHeight="1" ht="18.75">
      <c r="A1485" s="1"/>
      <c r="B1485" s="3"/>
      <c r="C1485" s="1"/>
      <c r="D1485" s="17"/>
    </row>
    <row x14ac:dyDescent="0.25" r="1486" customHeight="1" ht="18.75">
      <c r="A1486" s="1"/>
      <c r="B1486" s="3"/>
      <c r="C1486" s="1"/>
      <c r="D1486" s="17"/>
    </row>
    <row x14ac:dyDescent="0.25" r="1487" customHeight="1" ht="18.75">
      <c r="A1487" s="1"/>
      <c r="B1487" s="3"/>
      <c r="C1487" s="1"/>
      <c r="D1487" s="17"/>
    </row>
    <row x14ac:dyDescent="0.25" r="1488" customHeight="1" ht="18.75">
      <c r="A1488" s="1"/>
      <c r="B1488" s="3"/>
      <c r="C1488" s="1"/>
      <c r="D1488" s="17"/>
    </row>
    <row x14ac:dyDescent="0.25" r="1489" customHeight="1" ht="18.75">
      <c r="A1489" s="1"/>
      <c r="B1489" s="3"/>
      <c r="C1489" s="1"/>
      <c r="D1489" s="17"/>
    </row>
    <row x14ac:dyDescent="0.25" r="1490" customHeight="1" ht="18.75">
      <c r="A1490" s="1"/>
      <c r="B1490" s="3"/>
      <c r="C1490" s="1"/>
      <c r="D1490" s="17"/>
    </row>
    <row x14ac:dyDescent="0.25" r="1491" customHeight="1" ht="18.75">
      <c r="A1491" s="1"/>
      <c r="B1491" s="3"/>
      <c r="C1491" s="1"/>
      <c r="D1491" s="17"/>
    </row>
    <row x14ac:dyDescent="0.25" r="1492" customHeight="1" ht="18.75">
      <c r="A1492" s="1"/>
      <c r="B1492" s="3"/>
      <c r="C1492" s="1"/>
      <c r="D1492" s="17"/>
    </row>
    <row x14ac:dyDescent="0.25" r="1493" customHeight="1" ht="18.75">
      <c r="A1493" s="1"/>
      <c r="B1493" s="3"/>
      <c r="C1493" s="1"/>
      <c r="D1493" s="17"/>
    </row>
    <row x14ac:dyDescent="0.25" r="1494" customHeight="1" ht="18.75">
      <c r="A1494" s="1"/>
      <c r="B1494" s="3"/>
      <c r="C1494" s="1"/>
      <c r="D1494" s="17"/>
    </row>
    <row x14ac:dyDescent="0.25" r="1495" customHeight="1" ht="18.75">
      <c r="A1495" s="1"/>
      <c r="B1495" s="3"/>
      <c r="C1495" s="1"/>
      <c r="D1495" s="17"/>
    </row>
    <row x14ac:dyDescent="0.25" r="1496" customHeight="1" ht="18.75">
      <c r="A1496" s="1"/>
      <c r="B1496" s="3"/>
      <c r="C1496" s="1"/>
      <c r="D1496" s="17"/>
    </row>
    <row x14ac:dyDescent="0.25" r="1497" customHeight="1" ht="18.75">
      <c r="A1497" s="1"/>
      <c r="B1497" s="3"/>
      <c r="C1497" s="1"/>
      <c r="D1497" s="17"/>
    </row>
    <row x14ac:dyDescent="0.25" r="1498" customHeight="1" ht="18.75">
      <c r="A1498" s="1"/>
      <c r="B1498" s="3"/>
      <c r="C1498" s="1"/>
      <c r="D1498" s="17"/>
    </row>
    <row x14ac:dyDescent="0.25" r="1499" customHeight="1" ht="18.75">
      <c r="A1499" s="1"/>
      <c r="B1499" s="3"/>
      <c r="C1499" s="1"/>
      <c r="D1499" s="17"/>
    </row>
    <row x14ac:dyDescent="0.25" r="1500" customHeight="1" ht="18.75">
      <c r="A1500" s="1"/>
      <c r="B1500" s="3"/>
      <c r="C1500" s="1"/>
      <c r="D1500" s="17"/>
    </row>
    <row x14ac:dyDescent="0.25" r="1501" customHeight="1" ht="18.75">
      <c r="A1501" s="1"/>
      <c r="B1501" s="3"/>
      <c r="C1501" s="1"/>
      <c r="D1501" s="17"/>
    </row>
    <row x14ac:dyDescent="0.25" r="1502" customHeight="1" ht="18.75">
      <c r="A1502" s="1"/>
      <c r="B1502" s="3"/>
      <c r="C1502" s="1"/>
      <c r="D1502" s="17"/>
    </row>
    <row x14ac:dyDescent="0.25" r="1503" customHeight="1" ht="18.75">
      <c r="A1503" s="1"/>
      <c r="B1503" s="3"/>
      <c r="C1503" s="1"/>
      <c r="D1503" s="17"/>
    </row>
    <row x14ac:dyDescent="0.25" r="1504" customHeight="1" ht="18.75">
      <c r="A1504" s="1"/>
      <c r="B1504" s="3"/>
      <c r="C1504" s="1"/>
      <c r="D1504" s="17"/>
    </row>
    <row x14ac:dyDescent="0.25" r="1505" customHeight="1" ht="18.75">
      <c r="A1505" s="1"/>
      <c r="B1505" s="3"/>
      <c r="C1505" s="1"/>
      <c r="D1505" s="17"/>
    </row>
    <row x14ac:dyDescent="0.25" r="1506" customHeight="1" ht="18.75">
      <c r="A1506" s="1"/>
      <c r="B1506" s="3"/>
      <c r="C1506" s="1"/>
      <c r="D1506" s="17"/>
    </row>
    <row x14ac:dyDescent="0.25" r="1507" customHeight="1" ht="18.75">
      <c r="A1507" s="1"/>
      <c r="B1507" s="3"/>
      <c r="C1507" s="1"/>
      <c r="D1507" s="17"/>
    </row>
    <row x14ac:dyDescent="0.25" r="1508" customHeight="1" ht="18.75">
      <c r="A1508" s="1"/>
      <c r="B1508" s="3"/>
      <c r="C1508" s="1"/>
      <c r="D1508" s="17"/>
    </row>
    <row x14ac:dyDescent="0.25" r="1509" customHeight="1" ht="18.75">
      <c r="A1509" s="1"/>
      <c r="B1509" s="3"/>
      <c r="C1509" s="1"/>
      <c r="D1509" s="17"/>
    </row>
    <row x14ac:dyDescent="0.25" r="1510" customHeight="1" ht="18.75">
      <c r="A1510" s="1"/>
      <c r="B1510" s="3"/>
      <c r="C1510" s="1"/>
      <c r="D1510" s="17"/>
    </row>
    <row x14ac:dyDescent="0.25" r="1511" customHeight="1" ht="18.75">
      <c r="A1511" s="1"/>
      <c r="B1511" s="3"/>
      <c r="C1511" s="1"/>
      <c r="D1511" s="17"/>
    </row>
    <row x14ac:dyDescent="0.25" r="1512" customHeight="1" ht="18.75">
      <c r="A1512" s="1"/>
      <c r="B1512" s="3"/>
      <c r="C1512" s="1"/>
      <c r="D1512" s="17"/>
    </row>
    <row x14ac:dyDescent="0.25" r="1513" customHeight="1" ht="18.75">
      <c r="A1513" s="1"/>
      <c r="B1513" s="3"/>
      <c r="C1513" s="1"/>
      <c r="D1513" s="17"/>
    </row>
    <row x14ac:dyDescent="0.25" r="1514" customHeight="1" ht="18.75">
      <c r="A1514" s="1"/>
      <c r="B1514" s="3"/>
      <c r="C1514" s="1"/>
      <c r="D1514" s="17"/>
    </row>
    <row x14ac:dyDescent="0.25" r="1515" customHeight="1" ht="18.75">
      <c r="A1515" s="1"/>
      <c r="B1515" s="3"/>
      <c r="C1515" s="1"/>
      <c r="D1515" s="17"/>
    </row>
    <row x14ac:dyDescent="0.25" r="1516" customHeight="1" ht="18.75">
      <c r="A1516" s="1"/>
      <c r="B1516" s="3"/>
      <c r="C1516" s="1"/>
      <c r="D1516" s="17"/>
    </row>
    <row x14ac:dyDescent="0.25" r="1517" customHeight="1" ht="18.75">
      <c r="A1517" s="1"/>
      <c r="B1517" s="3"/>
      <c r="C1517" s="1"/>
      <c r="D1517" s="17"/>
    </row>
    <row x14ac:dyDescent="0.25" r="1518" customHeight="1" ht="18.75">
      <c r="A1518" s="1"/>
      <c r="B1518" s="3"/>
      <c r="C1518" s="1"/>
      <c r="D1518" s="17"/>
    </row>
    <row x14ac:dyDescent="0.25" r="1519" customHeight="1" ht="18.75">
      <c r="A1519" s="1"/>
      <c r="B1519" s="3"/>
      <c r="C1519" s="1"/>
      <c r="D1519" s="17"/>
    </row>
    <row x14ac:dyDescent="0.25" r="1520" customHeight="1" ht="18.75">
      <c r="A1520" s="1"/>
      <c r="B1520" s="3"/>
      <c r="C1520" s="1"/>
      <c r="D1520" s="17"/>
    </row>
    <row x14ac:dyDescent="0.25" r="1521" customHeight="1" ht="18.75">
      <c r="A1521" s="1"/>
      <c r="B1521" s="3"/>
      <c r="C1521" s="1"/>
      <c r="D1521" s="17"/>
    </row>
    <row x14ac:dyDescent="0.25" r="1522" customHeight="1" ht="18.75">
      <c r="A1522" s="1"/>
      <c r="B1522" s="3"/>
      <c r="C1522" s="1"/>
      <c r="D1522" s="17"/>
    </row>
    <row x14ac:dyDescent="0.25" r="1523" customHeight="1" ht="18.75">
      <c r="A1523" s="1"/>
      <c r="B1523" s="3"/>
      <c r="C1523" s="1"/>
      <c r="D1523" s="17"/>
    </row>
    <row x14ac:dyDescent="0.25" r="1524" customHeight="1" ht="18.75">
      <c r="A1524" s="1"/>
      <c r="B1524" s="3"/>
      <c r="C1524" s="1"/>
      <c r="D1524" s="17"/>
    </row>
    <row x14ac:dyDescent="0.25" r="1525" customHeight="1" ht="18.75">
      <c r="A1525" s="1"/>
      <c r="B1525" s="3"/>
      <c r="C1525" s="1"/>
      <c r="D1525" s="17"/>
    </row>
    <row x14ac:dyDescent="0.25" r="1526" customHeight="1" ht="18.75">
      <c r="A1526" s="1"/>
      <c r="B1526" s="3"/>
      <c r="C1526" s="1"/>
      <c r="D1526" s="17"/>
    </row>
    <row x14ac:dyDescent="0.25" r="1527" customHeight="1" ht="18.75">
      <c r="A1527" s="1"/>
      <c r="B1527" s="3"/>
      <c r="C1527" s="1"/>
      <c r="D1527" s="17"/>
    </row>
    <row x14ac:dyDescent="0.25" r="1528" customHeight="1" ht="18.75">
      <c r="A1528" s="1"/>
      <c r="B1528" s="3"/>
      <c r="C1528" s="1"/>
      <c r="D1528" s="17"/>
    </row>
    <row x14ac:dyDescent="0.25" r="1529" customHeight="1" ht="18.75">
      <c r="A1529" s="1"/>
      <c r="B1529" s="3"/>
      <c r="C1529" s="1"/>
      <c r="D1529" s="17"/>
    </row>
    <row x14ac:dyDescent="0.25" r="1530" customHeight="1" ht="18.75">
      <c r="A1530" s="1"/>
      <c r="B1530" s="3"/>
      <c r="C1530" s="1"/>
      <c r="D1530" s="17"/>
    </row>
    <row x14ac:dyDescent="0.25" r="1531" customHeight="1" ht="18.75">
      <c r="A1531" s="1"/>
      <c r="B1531" s="3"/>
      <c r="C1531" s="1"/>
      <c r="D1531" s="17"/>
    </row>
    <row x14ac:dyDescent="0.25" r="1532" customHeight="1" ht="18.75">
      <c r="A1532" s="1"/>
      <c r="B1532" s="3"/>
      <c r="C1532" s="1"/>
      <c r="D1532" s="17"/>
    </row>
    <row x14ac:dyDescent="0.25" r="1533" customHeight="1" ht="18.75">
      <c r="A1533" s="1"/>
      <c r="B1533" s="3"/>
      <c r="C1533" s="1"/>
      <c r="D1533" s="17"/>
    </row>
    <row x14ac:dyDescent="0.25" r="1534" customHeight="1" ht="18.75">
      <c r="A1534" s="1"/>
      <c r="B1534" s="3"/>
      <c r="C1534" s="1"/>
      <c r="D1534" s="17"/>
    </row>
    <row x14ac:dyDescent="0.25" r="1535" customHeight="1" ht="18.75">
      <c r="A1535" s="1"/>
      <c r="B1535" s="3"/>
      <c r="C1535" s="1"/>
      <c r="D1535" s="17"/>
    </row>
    <row x14ac:dyDescent="0.25" r="1536" customHeight="1" ht="18.75">
      <c r="A1536" s="1"/>
      <c r="B1536" s="3"/>
      <c r="C1536" s="1"/>
      <c r="D1536" s="17"/>
    </row>
    <row x14ac:dyDescent="0.25" r="1537" customHeight="1" ht="18.75">
      <c r="A1537" s="1"/>
      <c r="B1537" s="3"/>
      <c r="C1537" s="1"/>
      <c r="D1537" s="17"/>
    </row>
    <row x14ac:dyDescent="0.25" r="1538" customHeight="1" ht="18.75">
      <c r="A1538" s="1"/>
      <c r="B1538" s="3"/>
      <c r="C1538" s="1"/>
      <c r="D1538" s="17"/>
    </row>
    <row x14ac:dyDescent="0.25" r="1539" customHeight="1" ht="18.75">
      <c r="A1539" s="1"/>
      <c r="B1539" s="3"/>
      <c r="C1539" s="1"/>
      <c r="D1539" s="17"/>
    </row>
    <row x14ac:dyDescent="0.25" r="1540" customHeight="1" ht="18.75">
      <c r="A1540" s="1"/>
      <c r="B1540" s="3"/>
      <c r="C1540" s="1"/>
      <c r="D1540" s="17"/>
    </row>
    <row x14ac:dyDescent="0.25" r="1541" customHeight="1" ht="18.75">
      <c r="A1541" s="1"/>
      <c r="B1541" s="3"/>
      <c r="C1541" s="1"/>
      <c r="D1541" s="17"/>
    </row>
    <row x14ac:dyDescent="0.25" r="1542" customHeight="1" ht="18.75">
      <c r="A1542" s="1"/>
      <c r="B1542" s="3"/>
      <c r="C1542" s="1"/>
      <c r="D1542" s="17"/>
    </row>
    <row x14ac:dyDescent="0.25" r="1543" customHeight="1" ht="18.75">
      <c r="A1543" s="1"/>
      <c r="B1543" s="3"/>
      <c r="C1543" s="1"/>
      <c r="D1543" s="17"/>
    </row>
    <row x14ac:dyDescent="0.25" r="1544" customHeight="1" ht="18.75">
      <c r="A1544" s="1"/>
      <c r="B1544" s="3"/>
      <c r="C1544" s="1"/>
      <c r="D1544" s="17"/>
    </row>
    <row x14ac:dyDescent="0.25" r="1545" customHeight="1" ht="18.75">
      <c r="A1545" s="1"/>
      <c r="B1545" s="3"/>
      <c r="C1545" s="1"/>
      <c r="D1545" s="17"/>
    </row>
    <row x14ac:dyDescent="0.25" r="1546" customHeight="1" ht="18.75">
      <c r="A1546" s="1"/>
      <c r="B1546" s="3"/>
      <c r="C1546" s="1"/>
      <c r="D1546" s="17"/>
    </row>
    <row x14ac:dyDescent="0.25" r="1547" customHeight="1" ht="18.75">
      <c r="A1547" s="1"/>
      <c r="B1547" s="3"/>
      <c r="C1547" s="1"/>
      <c r="D1547" s="17"/>
    </row>
    <row x14ac:dyDescent="0.25" r="1548" customHeight="1" ht="18.75">
      <c r="A1548" s="1"/>
      <c r="B1548" s="3"/>
      <c r="C1548" s="1"/>
      <c r="D1548" s="17"/>
    </row>
    <row x14ac:dyDescent="0.25" r="1549" customHeight="1" ht="18.75">
      <c r="A1549" s="1"/>
      <c r="B1549" s="3"/>
      <c r="C1549" s="1"/>
      <c r="D1549" s="17"/>
    </row>
    <row x14ac:dyDescent="0.25" r="1550" customHeight="1" ht="18.75">
      <c r="A1550" s="1"/>
      <c r="B1550" s="3"/>
      <c r="C1550" s="1"/>
      <c r="D1550" s="17"/>
    </row>
    <row x14ac:dyDescent="0.25" r="1551" customHeight="1" ht="18.75">
      <c r="A1551" s="1"/>
      <c r="B1551" s="3"/>
      <c r="C1551" s="1"/>
      <c r="D1551" s="17"/>
    </row>
    <row x14ac:dyDescent="0.25" r="1552" customHeight="1" ht="18.75">
      <c r="A1552" s="1"/>
      <c r="B1552" s="3"/>
      <c r="C1552" s="1"/>
      <c r="D1552" s="17"/>
    </row>
    <row x14ac:dyDescent="0.25" r="1553" customHeight="1" ht="18.75">
      <c r="A1553" s="1"/>
      <c r="B1553" s="3"/>
      <c r="C1553" s="1"/>
      <c r="D1553" s="17"/>
    </row>
    <row x14ac:dyDescent="0.25" r="1554" customHeight="1" ht="18.75">
      <c r="A1554" s="1"/>
      <c r="B1554" s="3"/>
      <c r="C1554" s="1"/>
      <c r="D1554" s="17"/>
    </row>
    <row x14ac:dyDescent="0.25" r="1555" customHeight="1" ht="18.75">
      <c r="A1555" s="1"/>
      <c r="B1555" s="3"/>
      <c r="C1555" s="1"/>
      <c r="D1555" s="17"/>
    </row>
    <row x14ac:dyDescent="0.25" r="1556" customHeight="1" ht="18.75">
      <c r="A1556" s="1"/>
      <c r="B1556" s="3"/>
      <c r="C1556" s="1"/>
      <c r="D1556" s="17"/>
    </row>
    <row x14ac:dyDescent="0.25" r="1557" customHeight="1" ht="18.75">
      <c r="A1557" s="1"/>
      <c r="B1557" s="3"/>
      <c r="C1557" s="1"/>
      <c r="D1557" s="17"/>
    </row>
    <row x14ac:dyDescent="0.25" r="1558" customHeight="1" ht="18.75">
      <c r="A1558" s="1"/>
      <c r="B1558" s="3"/>
      <c r="C1558" s="1"/>
      <c r="D1558" s="17"/>
    </row>
    <row x14ac:dyDescent="0.25" r="1559" customHeight="1" ht="18.75">
      <c r="A1559" s="1"/>
      <c r="B1559" s="3"/>
      <c r="C1559" s="1"/>
      <c r="D1559" s="17"/>
    </row>
    <row x14ac:dyDescent="0.25" r="1560" customHeight="1" ht="18.75">
      <c r="A1560" s="1"/>
      <c r="B1560" s="3"/>
      <c r="C1560" s="1"/>
      <c r="D1560" s="17"/>
    </row>
    <row x14ac:dyDescent="0.25" r="1561" customHeight="1" ht="18.75">
      <c r="A1561" s="1"/>
      <c r="B1561" s="3"/>
      <c r="C1561" s="1"/>
      <c r="D1561" s="17"/>
    </row>
    <row x14ac:dyDescent="0.25" r="1562" customHeight="1" ht="18.75">
      <c r="A1562" s="1"/>
      <c r="B1562" s="3"/>
      <c r="C1562" s="1"/>
      <c r="D1562" s="17"/>
    </row>
    <row x14ac:dyDescent="0.25" r="1563" customHeight="1" ht="18.75">
      <c r="A1563" s="1"/>
      <c r="B1563" s="3"/>
      <c r="C1563" s="1"/>
      <c r="D1563" s="17"/>
    </row>
    <row x14ac:dyDescent="0.25" r="1564" customHeight="1" ht="18.75">
      <c r="A1564" s="1"/>
      <c r="B1564" s="3"/>
      <c r="C1564" s="1"/>
      <c r="D1564" s="17"/>
    </row>
    <row x14ac:dyDescent="0.25" r="1565" customHeight="1" ht="18.75">
      <c r="A1565" s="1"/>
      <c r="B1565" s="3"/>
      <c r="C1565" s="1"/>
      <c r="D1565" s="17"/>
    </row>
    <row x14ac:dyDescent="0.25" r="1566" customHeight="1" ht="18.75">
      <c r="A1566" s="1"/>
      <c r="B1566" s="3"/>
      <c r="C1566" s="1"/>
      <c r="D1566" s="17"/>
    </row>
    <row x14ac:dyDescent="0.25" r="1567" customHeight="1" ht="18.75">
      <c r="A1567" s="1"/>
      <c r="B1567" s="3"/>
      <c r="C1567" s="1"/>
      <c r="D1567" s="17"/>
    </row>
    <row x14ac:dyDescent="0.25" r="1568" customHeight="1" ht="18.75">
      <c r="A1568" s="1"/>
      <c r="B1568" s="3"/>
      <c r="C1568" s="1"/>
      <c r="D1568" s="17"/>
    </row>
    <row x14ac:dyDescent="0.25" r="1569" customHeight="1" ht="18.75">
      <c r="A1569" s="1"/>
      <c r="B1569" s="3"/>
      <c r="C1569" s="1"/>
      <c r="D1569" s="17"/>
    </row>
    <row x14ac:dyDescent="0.25" r="1570" customHeight="1" ht="18.75">
      <c r="A1570" s="1"/>
      <c r="B1570" s="3"/>
      <c r="C1570" s="1"/>
      <c r="D1570" s="17"/>
    </row>
    <row x14ac:dyDescent="0.25" r="1571" customHeight="1" ht="18.75">
      <c r="A1571" s="1"/>
      <c r="B1571" s="3"/>
      <c r="C1571" s="1"/>
      <c r="D1571" s="17"/>
    </row>
    <row x14ac:dyDescent="0.25" r="1572" customHeight="1" ht="18.75">
      <c r="A1572" s="1"/>
      <c r="B1572" s="3"/>
      <c r="C1572" s="1"/>
      <c r="D1572" s="17"/>
    </row>
    <row x14ac:dyDescent="0.25" r="1573" customHeight="1" ht="18.75">
      <c r="A1573" s="1"/>
      <c r="B1573" s="3"/>
      <c r="C1573" s="1"/>
      <c r="D1573" s="17"/>
    </row>
    <row x14ac:dyDescent="0.25" r="1574" customHeight="1" ht="18.75">
      <c r="A1574" s="1"/>
      <c r="B1574" s="3"/>
      <c r="C1574" s="1"/>
      <c r="D1574" s="17"/>
    </row>
    <row x14ac:dyDescent="0.25" r="1575" customHeight="1" ht="18.75">
      <c r="A1575" s="1"/>
      <c r="B1575" s="3"/>
      <c r="C1575" s="1"/>
      <c r="D1575" s="17"/>
    </row>
    <row x14ac:dyDescent="0.25" r="1576" customHeight="1" ht="18.75">
      <c r="A1576" s="1"/>
      <c r="B1576" s="3"/>
      <c r="C1576" s="1"/>
      <c r="D1576" s="17"/>
    </row>
    <row x14ac:dyDescent="0.25" r="1577" customHeight="1" ht="18.75">
      <c r="A1577" s="1"/>
      <c r="B1577" s="3"/>
      <c r="C1577" s="1"/>
      <c r="D1577" s="17"/>
    </row>
    <row x14ac:dyDescent="0.25" r="1578" customHeight="1" ht="18.75">
      <c r="A1578" s="1"/>
      <c r="B1578" s="3"/>
      <c r="C1578" s="1"/>
      <c r="D1578" s="17"/>
    </row>
    <row x14ac:dyDescent="0.25" r="1579" customHeight="1" ht="18.75">
      <c r="A1579" s="1"/>
      <c r="B1579" s="3"/>
      <c r="C1579" s="1"/>
      <c r="D1579" s="17"/>
    </row>
    <row x14ac:dyDescent="0.25" r="1580" customHeight="1" ht="18.75">
      <c r="A1580" s="1"/>
      <c r="B1580" s="3"/>
      <c r="C1580" s="1"/>
      <c r="D1580" s="17"/>
    </row>
    <row x14ac:dyDescent="0.25" r="1581" customHeight="1" ht="18.75">
      <c r="A1581" s="1"/>
      <c r="B1581" s="3"/>
      <c r="C1581" s="1"/>
      <c r="D1581" s="17"/>
    </row>
    <row x14ac:dyDescent="0.25" r="1582" customHeight="1" ht="18.75">
      <c r="A1582" s="1"/>
      <c r="B1582" s="3"/>
      <c r="C1582" s="1"/>
      <c r="D1582" s="17"/>
    </row>
    <row x14ac:dyDescent="0.25" r="1583" customHeight="1" ht="18.75">
      <c r="A1583" s="1"/>
      <c r="B1583" s="3"/>
      <c r="C1583" s="1"/>
      <c r="D1583" s="17"/>
    </row>
    <row x14ac:dyDescent="0.25" r="1584" customHeight="1" ht="18.75">
      <c r="A1584" s="1"/>
      <c r="B1584" s="3"/>
      <c r="C1584" s="1"/>
      <c r="D1584" s="17"/>
    </row>
    <row x14ac:dyDescent="0.25" r="1585" customHeight="1" ht="18.75">
      <c r="A1585" s="1"/>
      <c r="B1585" s="3"/>
      <c r="C1585" s="1"/>
      <c r="D1585" s="17"/>
    </row>
    <row x14ac:dyDescent="0.25" r="1586" customHeight="1" ht="18.75">
      <c r="A1586" s="1"/>
      <c r="B1586" s="3"/>
      <c r="C1586" s="1"/>
      <c r="D1586" s="17"/>
    </row>
    <row x14ac:dyDescent="0.25" r="1587" customHeight="1" ht="18.75">
      <c r="A1587" s="1"/>
      <c r="B1587" s="3"/>
      <c r="C1587" s="1"/>
      <c r="D1587" s="17"/>
    </row>
    <row x14ac:dyDescent="0.25" r="1588" customHeight="1" ht="18.75">
      <c r="A1588" s="1"/>
      <c r="B1588" s="3"/>
      <c r="C1588" s="1"/>
      <c r="D1588" s="17"/>
    </row>
    <row x14ac:dyDescent="0.25" r="1589" customHeight="1" ht="18.75">
      <c r="A1589" s="1"/>
      <c r="B1589" s="3"/>
      <c r="C1589" s="1"/>
      <c r="D1589" s="17"/>
    </row>
    <row x14ac:dyDescent="0.25" r="1590" customHeight="1" ht="18.75">
      <c r="A1590" s="1"/>
      <c r="B1590" s="3"/>
      <c r="C1590" s="1"/>
      <c r="D1590" s="17"/>
    </row>
    <row x14ac:dyDescent="0.25" r="1591" customHeight="1" ht="18.75">
      <c r="A1591" s="1"/>
      <c r="B1591" s="3"/>
      <c r="C1591" s="1"/>
      <c r="D1591" s="17"/>
    </row>
    <row x14ac:dyDescent="0.25" r="1592" customHeight="1" ht="18.75">
      <c r="A1592" s="1"/>
      <c r="B1592" s="3"/>
      <c r="C1592" s="1"/>
      <c r="D1592" s="17"/>
    </row>
    <row x14ac:dyDescent="0.25" r="1593" customHeight="1" ht="18.75">
      <c r="A1593" s="1"/>
      <c r="B1593" s="3"/>
      <c r="C1593" s="1"/>
      <c r="D1593" s="17"/>
    </row>
    <row x14ac:dyDescent="0.25" r="1594" customHeight="1" ht="18.75">
      <c r="A1594" s="1"/>
      <c r="B1594" s="3"/>
      <c r="C1594" s="1"/>
      <c r="D1594" s="17"/>
    </row>
    <row x14ac:dyDescent="0.25" r="1595" customHeight="1" ht="18.75">
      <c r="A1595" s="1"/>
      <c r="B1595" s="3"/>
      <c r="C1595" s="1"/>
      <c r="D1595" s="17"/>
    </row>
    <row x14ac:dyDescent="0.25" r="1596" customHeight="1" ht="18.75">
      <c r="A1596" s="1"/>
      <c r="B1596" s="3"/>
      <c r="C1596" s="1"/>
      <c r="D1596" s="17"/>
    </row>
    <row x14ac:dyDescent="0.25" r="1597" customHeight="1" ht="18.75">
      <c r="A1597" s="1"/>
      <c r="B1597" s="3"/>
      <c r="C1597" s="1"/>
      <c r="D1597" s="17"/>
    </row>
    <row x14ac:dyDescent="0.25" r="1598" customHeight="1" ht="18.75">
      <c r="A1598" s="1"/>
      <c r="B1598" s="3"/>
      <c r="C1598" s="1"/>
      <c r="D1598" s="17"/>
    </row>
    <row x14ac:dyDescent="0.25" r="1599" customHeight="1" ht="18.75">
      <c r="A1599" s="1"/>
      <c r="B1599" s="3"/>
      <c r="C1599" s="1"/>
      <c r="D1599" s="17"/>
    </row>
    <row x14ac:dyDescent="0.25" r="1600" customHeight="1" ht="18.75">
      <c r="A1600" s="1"/>
      <c r="B1600" s="3"/>
      <c r="C1600" s="1"/>
      <c r="D1600" s="17"/>
    </row>
    <row x14ac:dyDescent="0.25" r="1601" customHeight="1" ht="18.75">
      <c r="A1601" s="1"/>
      <c r="B1601" s="3"/>
      <c r="C1601" s="1"/>
      <c r="D1601" s="17"/>
    </row>
    <row x14ac:dyDescent="0.25" r="1602" customHeight="1" ht="18.75">
      <c r="A1602" s="1"/>
      <c r="B1602" s="3"/>
      <c r="C1602" s="1"/>
      <c r="D1602" s="17"/>
    </row>
    <row x14ac:dyDescent="0.25" r="1603" customHeight="1" ht="18.75">
      <c r="A1603" s="1"/>
      <c r="B1603" s="3"/>
      <c r="C1603" s="1"/>
      <c r="D1603" s="17"/>
    </row>
    <row x14ac:dyDescent="0.25" r="1604" customHeight="1" ht="18.75">
      <c r="A1604" s="1"/>
      <c r="B1604" s="3"/>
      <c r="C1604" s="1"/>
      <c r="D1604" s="17"/>
    </row>
    <row x14ac:dyDescent="0.25" r="1605" customHeight="1" ht="18.75">
      <c r="A1605" s="1"/>
      <c r="B1605" s="3"/>
      <c r="C1605" s="1"/>
      <c r="D1605" s="17"/>
    </row>
    <row x14ac:dyDescent="0.25" r="1606" customHeight="1" ht="18.75">
      <c r="A1606" s="1"/>
      <c r="B1606" s="3"/>
      <c r="C1606" s="1"/>
      <c r="D1606" s="17"/>
    </row>
    <row x14ac:dyDescent="0.25" r="1607" customHeight="1" ht="18.75">
      <c r="A1607" s="1"/>
      <c r="B1607" s="3"/>
      <c r="C1607" s="1"/>
      <c r="D1607" s="17"/>
    </row>
    <row x14ac:dyDescent="0.25" r="1608" customHeight="1" ht="18.75">
      <c r="A1608" s="1"/>
      <c r="B1608" s="3"/>
      <c r="C1608" s="1"/>
      <c r="D1608" s="17"/>
    </row>
    <row x14ac:dyDescent="0.25" r="1609" customHeight="1" ht="18.75">
      <c r="A1609" s="1"/>
      <c r="B1609" s="3"/>
      <c r="C1609" s="1"/>
      <c r="D1609" s="17"/>
    </row>
    <row x14ac:dyDescent="0.25" r="1610" customHeight="1" ht="18.75">
      <c r="A1610" s="1"/>
      <c r="B1610" s="3"/>
      <c r="C1610" s="1"/>
      <c r="D1610" s="17"/>
    </row>
    <row x14ac:dyDescent="0.25" r="1611" customHeight="1" ht="18.75">
      <c r="A1611" s="1"/>
      <c r="B1611" s="3"/>
      <c r="C1611" s="1"/>
      <c r="D1611" s="17"/>
    </row>
    <row x14ac:dyDescent="0.25" r="1612" customHeight="1" ht="18.75">
      <c r="A1612" s="1"/>
      <c r="B1612" s="3"/>
      <c r="C1612" s="1"/>
      <c r="D1612" s="17"/>
    </row>
    <row x14ac:dyDescent="0.25" r="1613" customHeight="1" ht="18.75">
      <c r="A1613" s="1"/>
      <c r="B1613" s="3"/>
      <c r="C1613" s="1"/>
      <c r="D1613" s="17"/>
    </row>
    <row x14ac:dyDescent="0.25" r="1614" customHeight="1" ht="18.75">
      <c r="A1614" s="1"/>
      <c r="B1614" s="3"/>
      <c r="C1614" s="1"/>
      <c r="D1614" s="17"/>
    </row>
    <row x14ac:dyDescent="0.25" r="1615" customHeight="1" ht="18.75">
      <c r="A1615" s="1"/>
      <c r="B1615" s="3"/>
      <c r="C1615" s="1"/>
      <c r="D1615" s="17"/>
    </row>
    <row x14ac:dyDescent="0.25" r="1616" customHeight="1" ht="18.75">
      <c r="A1616" s="1"/>
      <c r="B1616" s="3"/>
      <c r="C1616" s="1"/>
      <c r="D1616" s="17"/>
    </row>
    <row x14ac:dyDescent="0.25" r="1617" customHeight="1" ht="18.75">
      <c r="A1617" s="1"/>
      <c r="B1617" s="3"/>
      <c r="C1617" s="1"/>
      <c r="D1617" s="17"/>
    </row>
    <row x14ac:dyDescent="0.25" r="1618" customHeight="1" ht="18.75">
      <c r="A1618" s="1"/>
      <c r="B1618" s="3"/>
      <c r="C1618" s="1"/>
      <c r="D1618" s="17"/>
    </row>
    <row x14ac:dyDescent="0.25" r="1619" customHeight="1" ht="18.75">
      <c r="A1619" s="1"/>
      <c r="B1619" s="3"/>
      <c r="C1619" s="1"/>
      <c r="D1619" s="17"/>
    </row>
    <row x14ac:dyDescent="0.25" r="1620" customHeight="1" ht="18.75">
      <c r="A1620" s="1"/>
      <c r="B1620" s="3"/>
      <c r="C1620" s="1"/>
      <c r="D1620" s="17"/>
    </row>
    <row x14ac:dyDescent="0.25" r="1621" customHeight="1" ht="18.75">
      <c r="A1621" s="1"/>
      <c r="B1621" s="3"/>
      <c r="C1621" s="1"/>
      <c r="D1621" s="17"/>
    </row>
    <row x14ac:dyDescent="0.25" r="1622" customHeight="1" ht="18.75">
      <c r="A1622" s="1"/>
      <c r="B1622" s="3"/>
      <c r="C1622" s="1"/>
      <c r="D1622" s="17"/>
    </row>
    <row x14ac:dyDescent="0.25" r="1623" customHeight="1" ht="18.75">
      <c r="A1623" s="1"/>
      <c r="B1623" s="3"/>
      <c r="C1623" s="1"/>
      <c r="D1623" s="17"/>
    </row>
    <row x14ac:dyDescent="0.25" r="1624" customHeight="1" ht="18.75">
      <c r="A1624" s="1"/>
      <c r="B1624" s="3"/>
      <c r="C1624" s="1"/>
      <c r="D1624" s="17"/>
    </row>
    <row x14ac:dyDescent="0.25" r="1625" customHeight="1" ht="18.75">
      <c r="A1625" s="1"/>
      <c r="B1625" s="3"/>
      <c r="C1625" s="1"/>
      <c r="D1625" s="17"/>
    </row>
    <row x14ac:dyDescent="0.25" r="1626" customHeight="1" ht="18.75">
      <c r="A1626" s="1"/>
      <c r="B1626" s="3"/>
      <c r="C1626" s="1"/>
      <c r="D1626" s="17"/>
    </row>
    <row x14ac:dyDescent="0.25" r="1627" customHeight="1" ht="18.75">
      <c r="A1627" s="1"/>
      <c r="B1627" s="3"/>
      <c r="C1627" s="1"/>
      <c r="D1627" s="17"/>
    </row>
    <row x14ac:dyDescent="0.25" r="1628" customHeight="1" ht="18.75">
      <c r="A1628" s="1"/>
      <c r="B1628" s="3"/>
      <c r="C1628" s="1"/>
      <c r="D1628" s="17"/>
    </row>
    <row x14ac:dyDescent="0.25" r="1629" customHeight="1" ht="18.75">
      <c r="A1629" s="1"/>
      <c r="B1629" s="3"/>
      <c r="C1629" s="1"/>
      <c r="D1629" s="17"/>
    </row>
    <row x14ac:dyDescent="0.25" r="1630" customHeight="1" ht="18.75">
      <c r="A1630" s="1"/>
      <c r="B1630" s="3"/>
      <c r="C1630" s="1"/>
      <c r="D1630" s="17"/>
    </row>
    <row x14ac:dyDescent="0.25" r="1631" customHeight="1" ht="18.75">
      <c r="A1631" s="1"/>
      <c r="B1631" s="3"/>
      <c r="C1631" s="1"/>
      <c r="D1631" s="17"/>
    </row>
    <row x14ac:dyDescent="0.25" r="1632" customHeight="1" ht="18.75">
      <c r="A1632" s="1"/>
      <c r="B1632" s="3"/>
      <c r="C1632" s="1"/>
      <c r="D1632" s="17"/>
    </row>
    <row x14ac:dyDescent="0.25" r="1633" customHeight="1" ht="18.75">
      <c r="A1633" s="1"/>
      <c r="B1633" s="3"/>
      <c r="C1633" s="1"/>
      <c r="D1633" s="17"/>
    </row>
    <row x14ac:dyDescent="0.25" r="1634" customHeight="1" ht="18.75">
      <c r="A1634" s="1"/>
      <c r="B1634" s="3"/>
      <c r="C1634" s="1"/>
      <c r="D1634" s="17"/>
    </row>
    <row x14ac:dyDescent="0.25" r="1635" customHeight="1" ht="18.75">
      <c r="A1635" s="1"/>
      <c r="B1635" s="3"/>
      <c r="C1635" s="1"/>
      <c r="D1635" s="17"/>
    </row>
    <row x14ac:dyDescent="0.25" r="1636" customHeight="1" ht="18.75">
      <c r="A1636" s="1"/>
      <c r="B1636" s="3"/>
      <c r="C1636" s="1"/>
      <c r="D1636" s="17"/>
    </row>
    <row x14ac:dyDescent="0.25" r="1637" customHeight="1" ht="18.75">
      <c r="A1637" s="1"/>
      <c r="B1637" s="3"/>
      <c r="C1637" s="1"/>
      <c r="D1637" s="17"/>
    </row>
    <row x14ac:dyDescent="0.25" r="1638" customHeight="1" ht="18.75">
      <c r="A1638" s="1"/>
      <c r="B1638" s="3"/>
      <c r="C1638" s="1"/>
      <c r="D1638" s="17"/>
    </row>
    <row x14ac:dyDescent="0.25" r="1639" customHeight="1" ht="18.75">
      <c r="A1639" s="1"/>
      <c r="B1639" s="3"/>
      <c r="C1639" s="1"/>
      <c r="D1639" s="17"/>
    </row>
    <row x14ac:dyDescent="0.25" r="1640" customHeight="1" ht="18.75">
      <c r="A1640" s="1"/>
      <c r="B1640" s="3"/>
      <c r="C1640" s="1"/>
      <c r="D1640" s="17"/>
    </row>
    <row x14ac:dyDescent="0.25" r="1641" customHeight="1" ht="18.75">
      <c r="A1641" s="1"/>
      <c r="B1641" s="3"/>
      <c r="C1641" s="1"/>
      <c r="D1641" s="17"/>
    </row>
    <row x14ac:dyDescent="0.25" r="1642" customHeight="1" ht="18.75">
      <c r="A1642" s="1"/>
      <c r="B1642" s="3"/>
      <c r="C1642" s="1"/>
      <c r="D1642" s="17"/>
    </row>
    <row x14ac:dyDescent="0.25" r="1643" customHeight="1" ht="18.75">
      <c r="A1643" s="1"/>
      <c r="B1643" s="3"/>
      <c r="C1643" s="1"/>
      <c r="D1643" s="17"/>
    </row>
    <row x14ac:dyDescent="0.25" r="1644" customHeight="1" ht="18.75">
      <c r="A1644" s="1"/>
      <c r="B1644" s="3"/>
      <c r="C1644" s="1"/>
      <c r="D1644" s="17"/>
    </row>
    <row x14ac:dyDescent="0.25" r="1645" customHeight="1" ht="18.75">
      <c r="A1645" s="1"/>
      <c r="B1645" s="3"/>
      <c r="C1645" s="1"/>
      <c r="D1645" s="17"/>
    </row>
    <row x14ac:dyDescent="0.25" r="1646" customHeight="1" ht="18.75">
      <c r="A1646" s="1"/>
      <c r="B1646" s="3"/>
      <c r="C1646" s="1"/>
      <c r="D1646" s="17"/>
    </row>
    <row x14ac:dyDescent="0.25" r="1647" customHeight="1" ht="18.75">
      <c r="A1647" s="1"/>
      <c r="B1647" s="3"/>
      <c r="C1647" s="1"/>
      <c r="D1647" s="17"/>
    </row>
    <row x14ac:dyDescent="0.25" r="1648" customHeight="1" ht="18.75">
      <c r="A1648" s="1"/>
      <c r="B1648" s="3"/>
      <c r="C1648" s="1"/>
      <c r="D1648" s="17"/>
    </row>
    <row x14ac:dyDescent="0.25" r="1649" customHeight="1" ht="18.75">
      <c r="A1649" s="1"/>
      <c r="B1649" s="3"/>
      <c r="C1649" s="1"/>
      <c r="D1649" s="17"/>
    </row>
    <row x14ac:dyDescent="0.25" r="1650" customHeight="1" ht="18.75">
      <c r="A1650" s="1"/>
      <c r="B1650" s="3"/>
      <c r="C1650" s="1"/>
      <c r="D1650" s="17"/>
    </row>
    <row x14ac:dyDescent="0.25" r="1651" customHeight="1" ht="18.75">
      <c r="A1651" s="1"/>
      <c r="B1651" s="3"/>
      <c r="C1651" s="1"/>
      <c r="D1651" s="17"/>
    </row>
    <row x14ac:dyDescent="0.25" r="1652" customHeight="1" ht="18.75">
      <c r="A1652" s="1"/>
      <c r="B1652" s="3"/>
      <c r="C1652" s="1"/>
      <c r="D1652" s="17"/>
    </row>
    <row x14ac:dyDescent="0.25" r="1653" customHeight="1" ht="18.75">
      <c r="A1653" s="1"/>
      <c r="B1653" s="3"/>
      <c r="C1653" s="1"/>
      <c r="D1653" s="17"/>
    </row>
    <row x14ac:dyDescent="0.25" r="1654" customHeight="1" ht="18.75">
      <c r="A1654" s="1"/>
      <c r="B1654" s="3"/>
      <c r="C1654" s="1"/>
      <c r="D1654" s="17"/>
    </row>
    <row x14ac:dyDescent="0.25" r="1655" customHeight="1" ht="18.75">
      <c r="A1655" s="1"/>
      <c r="B1655" s="3"/>
      <c r="C1655" s="1"/>
      <c r="D1655" s="17"/>
    </row>
    <row x14ac:dyDescent="0.25" r="1656" customHeight="1" ht="18.75">
      <c r="A1656" s="1"/>
      <c r="B1656" s="3"/>
      <c r="C1656" s="1"/>
      <c r="D1656" s="17"/>
    </row>
    <row x14ac:dyDescent="0.25" r="1657" customHeight="1" ht="18.75">
      <c r="A1657" s="1"/>
      <c r="B1657" s="3"/>
      <c r="C1657" s="1"/>
      <c r="D1657" s="17"/>
    </row>
    <row x14ac:dyDescent="0.25" r="1658" customHeight="1" ht="18.75">
      <c r="A1658" s="1"/>
      <c r="B1658" s="3"/>
      <c r="C1658" s="1"/>
      <c r="D1658" s="17"/>
    </row>
    <row x14ac:dyDescent="0.25" r="1659" customHeight="1" ht="18.75">
      <c r="A1659" s="1"/>
      <c r="B1659" s="3"/>
      <c r="C1659" s="1"/>
      <c r="D1659" s="17"/>
    </row>
    <row x14ac:dyDescent="0.25" r="1660" customHeight="1" ht="18.75">
      <c r="A1660" s="1"/>
      <c r="B1660" s="3"/>
      <c r="C1660" s="1"/>
      <c r="D1660" s="17"/>
    </row>
    <row x14ac:dyDescent="0.25" r="1661" customHeight="1" ht="18.75">
      <c r="A1661" s="1"/>
      <c r="B1661" s="3"/>
      <c r="C1661" s="1"/>
      <c r="D1661" s="17"/>
    </row>
    <row x14ac:dyDescent="0.25" r="1662" customHeight="1" ht="18.75">
      <c r="A1662" s="1"/>
      <c r="B1662" s="3"/>
      <c r="C1662" s="1"/>
      <c r="D1662" s="17"/>
    </row>
    <row x14ac:dyDescent="0.25" r="1663" customHeight="1" ht="18.75">
      <c r="A1663" s="1"/>
      <c r="B1663" s="3"/>
      <c r="C1663" s="1"/>
      <c r="D1663" s="17"/>
    </row>
    <row x14ac:dyDescent="0.25" r="1664" customHeight="1" ht="18.75">
      <c r="A1664" s="1"/>
      <c r="B1664" s="3"/>
      <c r="C1664" s="1"/>
      <c r="D1664" s="17"/>
    </row>
    <row x14ac:dyDescent="0.25" r="1665" customHeight="1" ht="18.75">
      <c r="A1665" s="1"/>
      <c r="B1665" s="3"/>
      <c r="C1665" s="1"/>
      <c r="D1665" s="17"/>
    </row>
    <row x14ac:dyDescent="0.25" r="1666" customHeight="1" ht="18.75">
      <c r="A1666" s="1"/>
      <c r="B1666" s="3"/>
      <c r="C1666" s="1"/>
      <c r="D1666" s="17"/>
    </row>
    <row x14ac:dyDescent="0.25" r="1667" customHeight="1" ht="18.75">
      <c r="A1667" s="1"/>
      <c r="B1667" s="3"/>
      <c r="C1667" s="1"/>
      <c r="D1667" s="17"/>
    </row>
    <row x14ac:dyDescent="0.25" r="1668" customHeight="1" ht="18.75">
      <c r="A1668" s="1"/>
      <c r="B1668" s="3"/>
      <c r="C1668" s="1"/>
      <c r="D1668" s="17"/>
    </row>
    <row x14ac:dyDescent="0.25" r="1669" customHeight="1" ht="18.75">
      <c r="A1669" s="1"/>
      <c r="B1669" s="3"/>
      <c r="C1669" s="1"/>
      <c r="D1669" s="17"/>
    </row>
    <row x14ac:dyDescent="0.25" r="1670" customHeight="1" ht="18.75">
      <c r="A1670" s="1"/>
      <c r="B1670" s="3"/>
      <c r="C1670" s="1"/>
      <c r="D1670" s="17"/>
    </row>
    <row x14ac:dyDescent="0.25" r="1671" customHeight="1" ht="18.75">
      <c r="A1671" s="1"/>
      <c r="B1671" s="3"/>
      <c r="C1671" s="1"/>
      <c r="D1671" s="17"/>
    </row>
    <row x14ac:dyDescent="0.25" r="1672" customHeight="1" ht="18.75">
      <c r="A1672" s="1"/>
      <c r="B1672" s="3"/>
      <c r="C1672" s="1"/>
      <c r="D1672" s="17"/>
    </row>
    <row x14ac:dyDescent="0.25" r="1673" customHeight="1" ht="18.75">
      <c r="A1673" s="1"/>
      <c r="B1673" s="3"/>
      <c r="C1673" s="1"/>
      <c r="D1673" s="17"/>
    </row>
    <row x14ac:dyDescent="0.25" r="1674" customHeight="1" ht="18.75">
      <c r="A1674" s="1"/>
      <c r="B1674" s="3"/>
      <c r="C1674" s="1"/>
      <c r="D1674" s="17"/>
    </row>
    <row x14ac:dyDescent="0.25" r="1675" customHeight="1" ht="18.75">
      <c r="A1675" s="1"/>
      <c r="B1675" s="3"/>
      <c r="C1675" s="1"/>
      <c r="D1675" s="17"/>
    </row>
    <row x14ac:dyDescent="0.25" r="1676" customHeight="1" ht="18.75">
      <c r="A1676" s="1"/>
      <c r="B1676" s="3"/>
      <c r="C1676" s="1"/>
      <c r="D1676" s="17"/>
    </row>
    <row x14ac:dyDescent="0.25" r="1677" customHeight="1" ht="18.75">
      <c r="A1677" s="1"/>
      <c r="B1677" s="3"/>
      <c r="C1677" s="1"/>
      <c r="D1677" s="17"/>
    </row>
    <row x14ac:dyDescent="0.25" r="1678" customHeight="1" ht="18.75">
      <c r="A1678" s="1"/>
      <c r="B1678" s="3"/>
      <c r="C1678" s="1"/>
      <c r="D1678" s="17"/>
    </row>
    <row x14ac:dyDescent="0.25" r="1679" customHeight="1" ht="18.75">
      <c r="A1679" s="1"/>
      <c r="B1679" s="3"/>
      <c r="C1679" s="1"/>
      <c r="D1679" s="17"/>
    </row>
    <row x14ac:dyDescent="0.25" r="1680" customHeight="1" ht="18.75">
      <c r="A1680" s="1"/>
      <c r="B1680" s="3"/>
      <c r="C1680" s="1"/>
      <c r="D1680" s="17"/>
    </row>
    <row x14ac:dyDescent="0.25" r="1681" customHeight="1" ht="18.75">
      <c r="A1681" s="1"/>
      <c r="B1681" s="3"/>
      <c r="C1681" s="1"/>
      <c r="D1681" s="17"/>
    </row>
    <row x14ac:dyDescent="0.25" r="1682" customHeight="1" ht="18.75">
      <c r="A1682" s="1"/>
      <c r="B1682" s="3"/>
      <c r="C1682" s="1"/>
      <c r="D1682" s="17"/>
    </row>
    <row x14ac:dyDescent="0.25" r="1683" customHeight="1" ht="18.75">
      <c r="A1683" s="1"/>
      <c r="B1683" s="3"/>
      <c r="C1683" s="1"/>
      <c r="D1683" s="17"/>
    </row>
    <row x14ac:dyDescent="0.25" r="1684" customHeight="1" ht="18.75">
      <c r="A1684" s="1"/>
      <c r="B1684" s="3"/>
      <c r="C1684" s="1"/>
      <c r="D1684" s="17"/>
    </row>
    <row x14ac:dyDescent="0.25" r="1685" customHeight="1" ht="18.75">
      <c r="A1685" s="1"/>
      <c r="B1685" s="3"/>
      <c r="C1685" s="1"/>
      <c r="D1685" s="17"/>
    </row>
    <row x14ac:dyDescent="0.25" r="1686" customHeight="1" ht="18.75">
      <c r="A1686" s="1"/>
      <c r="B1686" s="3"/>
      <c r="C1686" s="1"/>
      <c r="D1686" s="17"/>
    </row>
    <row x14ac:dyDescent="0.25" r="1687" customHeight="1" ht="18.75">
      <c r="A1687" s="1"/>
      <c r="B1687" s="3"/>
      <c r="C1687" s="1"/>
      <c r="D1687" s="17"/>
    </row>
    <row x14ac:dyDescent="0.25" r="1688" customHeight="1" ht="18.75">
      <c r="A1688" s="1"/>
      <c r="B1688" s="3"/>
      <c r="C1688" s="1"/>
      <c r="D1688" s="17"/>
    </row>
    <row x14ac:dyDescent="0.25" r="1689" customHeight="1" ht="18.75">
      <c r="A1689" s="1"/>
      <c r="B1689" s="3"/>
      <c r="C1689" s="1"/>
      <c r="D1689" s="17"/>
    </row>
    <row x14ac:dyDescent="0.25" r="1690" customHeight="1" ht="18.75">
      <c r="A1690" s="1"/>
      <c r="B1690" s="3"/>
      <c r="C1690" s="1"/>
      <c r="D1690" s="17"/>
    </row>
    <row x14ac:dyDescent="0.25" r="1691" customHeight="1" ht="18.75">
      <c r="A1691" s="1"/>
      <c r="B1691" s="3"/>
      <c r="C1691" s="1"/>
      <c r="D1691" s="17"/>
    </row>
    <row x14ac:dyDescent="0.25" r="1692" customHeight="1" ht="18.75">
      <c r="A1692" s="1"/>
      <c r="B1692" s="3"/>
      <c r="C1692" s="1"/>
      <c r="D1692" s="17"/>
    </row>
    <row x14ac:dyDescent="0.25" r="1693" customHeight="1" ht="18.75">
      <c r="A1693" s="1"/>
      <c r="B1693" s="3"/>
      <c r="C1693" s="1"/>
      <c r="D1693" s="17"/>
    </row>
    <row x14ac:dyDescent="0.25" r="1694" customHeight="1" ht="18.75">
      <c r="A1694" s="1"/>
      <c r="B1694" s="3"/>
      <c r="C1694" s="1"/>
      <c r="D1694" s="17"/>
    </row>
    <row x14ac:dyDescent="0.25" r="1695" customHeight="1" ht="18.75">
      <c r="A1695" s="1"/>
      <c r="B1695" s="3"/>
      <c r="C1695" s="1"/>
      <c r="D1695" s="17"/>
    </row>
    <row x14ac:dyDescent="0.25" r="1696" customHeight="1" ht="18.75">
      <c r="A1696" s="1"/>
      <c r="B1696" s="3"/>
      <c r="C1696" s="1"/>
      <c r="D1696" s="17"/>
    </row>
    <row x14ac:dyDescent="0.25" r="1697" customHeight="1" ht="18.75">
      <c r="A1697" s="1"/>
      <c r="B1697" s="3"/>
      <c r="C1697" s="1"/>
      <c r="D1697" s="17"/>
    </row>
    <row x14ac:dyDescent="0.25" r="1698" customHeight="1" ht="18.75">
      <c r="A1698" s="1"/>
      <c r="B1698" s="3"/>
      <c r="C1698" s="1"/>
      <c r="D1698" s="17"/>
    </row>
    <row x14ac:dyDescent="0.25" r="1699" customHeight="1" ht="18.75">
      <c r="A1699" s="1"/>
      <c r="B1699" s="3"/>
      <c r="C1699" s="1"/>
      <c r="D1699" s="17"/>
    </row>
    <row x14ac:dyDescent="0.25" r="1700" customHeight="1" ht="18.75">
      <c r="A1700" s="1"/>
      <c r="B1700" s="3"/>
      <c r="C1700" s="1"/>
      <c r="D1700" s="17"/>
    </row>
    <row x14ac:dyDescent="0.25" r="1701" customHeight="1" ht="18.75">
      <c r="A1701" s="1"/>
      <c r="B1701" s="3"/>
      <c r="C1701" s="1"/>
      <c r="D1701" s="17"/>
    </row>
    <row x14ac:dyDescent="0.25" r="1702" customHeight="1" ht="18.75">
      <c r="A1702" s="1"/>
      <c r="B1702" s="3"/>
      <c r="C1702" s="1"/>
      <c r="D1702" s="17"/>
    </row>
    <row x14ac:dyDescent="0.25" r="1703" customHeight="1" ht="18.75">
      <c r="A1703" s="1"/>
      <c r="B1703" s="3"/>
      <c r="C1703" s="1"/>
      <c r="D1703" s="17"/>
    </row>
    <row x14ac:dyDescent="0.25" r="1704" customHeight="1" ht="18.75">
      <c r="A1704" s="1"/>
      <c r="B1704" s="3"/>
      <c r="C1704" s="1"/>
      <c r="D1704" s="17"/>
    </row>
    <row x14ac:dyDescent="0.25" r="1705" customHeight="1" ht="18.75">
      <c r="A1705" s="1"/>
      <c r="B1705" s="3"/>
      <c r="C1705" s="1"/>
      <c r="D1705" s="17"/>
    </row>
    <row x14ac:dyDescent="0.25" r="1706" customHeight="1" ht="18.75">
      <c r="A1706" s="1"/>
      <c r="B1706" s="3"/>
      <c r="C1706" s="1"/>
      <c r="D1706" s="17"/>
    </row>
    <row x14ac:dyDescent="0.25" r="1707" customHeight="1" ht="18.75">
      <c r="A1707" s="1"/>
      <c r="B1707" s="3"/>
      <c r="C1707" s="1"/>
      <c r="D1707" s="17"/>
    </row>
    <row x14ac:dyDescent="0.25" r="1708" customHeight="1" ht="18.75">
      <c r="A1708" s="1"/>
      <c r="B1708" s="3"/>
      <c r="C1708" s="1"/>
      <c r="D1708" s="17"/>
    </row>
    <row x14ac:dyDescent="0.25" r="1709" customHeight="1" ht="18.75">
      <c r="A1709" s="1"/>
      <c r="B1709" s="3"/>
      <c r="C1709" s="1"/>
      <c r="D1709" s="17"/>
    </row>
    <row x14ac:dyDescent="0.25" r="1710" customHeight="1" ht="18.75">
      <c r="A1710" s="1"/>
      <c r="B1710" s="3"/>
      <c r="C1710" s="1"/>
      <c r="D1710" s="17"/>
    </row>
    <row x14ac:dyDescent="0.25" r="1711" customHeight="1" ht="18.75">
      <c r="A1711" s="1"/>
      <c r="B1711" s="3"/>
      <c r="C1711" s="1"/>
      <c r="D1711" s="17"/>
    </row>
    <row x14ac:dyDescent="0.25" r="1712" customHeight="1" ht="18.75">
      <c r="A1712" s="1"/>
      <c r="B1712" s="3"/>
      <c r="C1712" s="1"/>
      <c r="D1712" s="17"/>
    </row>
    <row x14ac:dyDescent="0.25" r="1713" customHeight="1" ht="18.75">
      <c r="A1713" s="1"/>
      <c r="B1713" s="3"/>
      <c r="C1713" s="1"/>
      <c r="D1713" s="17"/>
    </row>
    <row x14ac:dyDescent="0.25" r="1714" customHeight="1" ht="18.75">
      <c r="A1714" s="1"/>
      <c r="B1714" s="3"/>
      <c r="C1714" s="1"/>
      <c r="D1714" s="17"/>
    </row>
    <row x14ac:dyDescent="0.25" r="1715" customHeight="1" ht="18.75">
      <c r="A1715" s="1"/>
      <c r="B1715" s="3"/>
      <c r="C1715" s="1"/>
      <c r="D1715" s="17"/>
    </row>
    <row x14ac:dyDescent="0.25" r="1716" customHeight="1" ht="18.75">
      <c r="A1716" s="1"/>
      <c r="B1716" s="3"/>
      <c r="C1716" s="1"/>
      <c r="D1716" s="17"/>
    </row>
    <row x14ac:dyDescent="0.25" r="1717" customHeight="1" ht="18.75">
      <c r="A1717" s="1"/>
      <c r="B1717" s="3"/>
      <c r="C1717" s="1"/>
      <c r="D1717" s="17"/>
    </row>
    <row x14ac:dyDescent="0.25" r="1718" customHeight="1" ht="18.75">
      <c r="A1718" s="1"/>
      <c r="B1718" s="3"/>
      <c r="C1718" s="1"/>
      <c r="D1718" s="17"/>
    </row>
    <row x14ac:dyDescent="0.25" r="1719" customHeight="1" ht="18.75">
      <c r="A1719" s="1"/>
      <c r="B1719" s="3"/>
      <c r="C1719" s="1"/>
      <c r="D1719" s="17"/>
    </row>
    <row x14ac:dyDescent="0.25" r="1720" customHeight="1" ht="18.75">
      <c r="A1720" s="1"/>
      <c r="B1720" s="3"/>
      <c r="C1720" s="1"/>
      <c r="D1720" s="17"/>
    </row>
    <row x14ac:dyDescent="0.25" r="1721" customHeight="1" ht="18.75">
      <c r="A1721" s="1"/>
      <c r="B1721" s="3"/>
      <c r="C1721" s="1"/>
      <c r="D1721" s="17"/>
    </row>
    <row x14ac:dyDescent="0.25" r="1722" customHeight="1" ht="18.75">
      <c r="A1722" s="1"/>
      <c r="B1722" s="3"/>
      <c r="C1722" s="1"/>
      <c r="D1722" s="17"/>
    </row>
    <row x14ac:dyDescent="0.25" r="1723" customHeight="1" ht="18.75">
      <c r="A1723" s="1"/>
      <c r="B1723" s="3"/>
      <c r="C1723" s="1"/>
      <c r="D1723" s="17"/>
    </row>
    <row x14ac:dyDescent="0.25" r="1724" customHeight="1" ht="18.75">
      <c r="A1724" s="1"/>
      <c r="B1724" s="3"/>
      <c r="C1724" s="1"/>
      <c r="D1724" s="17"/>
    </row>
    <row x14ac:dyDescent="0.25" r="1725" customHeight="1" ht="18.75">
      <c r="A1725" s="1"/>
      <c r="B1725" s="3"/>
      <c r="C1725" s="1"/>
      <c r="D1725" s="17"/>
    </row>
    <row x14ac:dyDescent="0.25" r="1726" customHeight="1" ht="18.75">
      <c r="A1726" s="1"/>
      <c r="B1726" s="3"/>
      <c r="C1726" s="1"/>
      <c r="D1726" s="17"/>
    </row>
    <row x14ac:dyDescent="0.25" r="1727" customHeight="1" ht="18.75">
      <c r="A1727" s="1"/>
      <c r="B1727" s="3"/>
      <c r="C1727" s="1"/>
      <c r="D1727" s="17"/>
    </row>
    <row x14ac:dyDescent="0.25" r="1728" customHeight="1" ht="18.75">
      <c r="A1728" s="1"/>
      <c r="B1728" s="3"/>
      <c r="C1728" s="1"/>
      <c r="D1728" s="17"/>
    </row>
    <row x14ac:dyDescent="0.25" r="1729" customHeight="1" ht="18.75">
      <c r="A1729" s="1"/>
      <c r="B1729" s="3"/>
      <c r="C1729" s="1"/>
      <c r="D1729" s="17"/>
    </row>
    <row x14ac:dyDescent="0.25" r="1730" customHeight="1" ht="18.75">
      <c r="A1730" s="1"/>
      <c r="B1730" s="3"/>
      <c r="C1730" s="1"/>
      <c r="D1730" s="17"/>
    </row>
    <row x14ac:dyDescent="0.25" r="1731" customHeight="1" ht="18.75">
      <c r="A1731" s="1"/>
      <c r="B1731" s="3"/>
      <c r="C1731" s="1"/>
      <c r="D1731" s="17"/>
    </row>
    <row x14ac:dyDescent="0.25" r="1732" customHeight="1" ht="18.75">
      <c r="A1732" s="1"/>
      <c r="B1732" s="3"/>
      <c r="C1732" s="1"/>
      <c r="D1732" s="17"/>
    </row>
    <row x14ac:dyDescent="0.25" r="1733" customHeight="1" ht="18.75">
      <c r="A1733" s="1"/>
      <c r="B1733" s="3"/>
      <c r="C1733" s="1"/>
      <c r="D1733" s="17"/>
    </row>
    <row x14ac:dyDescent="0.25" r="1734" customHeight="1" ht="18.75">
      <c r="A1734" s="1"/>
      <c r="B1734" s="3"/>
      <c r="C1734" s="1"/>
      <c r="D1734" s="17"/>
    </row>
    <row x14ac:dyDescent="0.25" r="1735" customHeight="1" ht="18.75">
      <c r="A1735" s="1"/>
      <c r="B1735" s="3"/>
      <c r="C1735" s="1"/>
      <c r="D1735" s="17"/>
    </row>
    <row x14ac:dyDescent="0.25" r="1736" customHeight="1" ht="18.75">
      <c r="A1736" s="1"/>
      <c r="B1736" s="3"/>
      <c r="C1736" s="1"/>
      <c r="D1736" s="17"/>
    </row>
    <row x14ac:dyDescent="0.25" r="1737" customHeight="1" ht="18.75">
      <c r="A1737" s="1"/>
      <c r="B1737" s="3"/>
      <c r="C1737" s="1"/>
      <c r="D1737" s="17"/>
    </row>
    <row x14ac:dyDescent="0.25" r="1738" customHeight="1" ht="18.75">
      <c r="A1738" s="1"/>
      <c r="B1738" s="3"/>
      <c r="C1738" s="1"/>
      <c r="D1738" s="17"/>
    </row>
    <row x14ac:dyDescent="0.25" r="1739" customHeight="1" ht="18.75">
      <c r="A1739" s="1"/>
      <c r="B1739" s="3"/>
      <c r="C1739" s="1"/>
      <c r="D1739" s="17"/>
    </row>
    <row x14ac:dyDescent="0.25" r="1740" customHeight="1" ht="18.75">
      <c r="A1740" s="1"/>
      <c r="B1740" s="3"/>
      <c r="C1740" s="1"/>
      <c r="D1740" s="17"/>
    </row>
    <row x14ac:dyDescent="0.25" r="1741" customHeight="1" ht="18.75">
      <c r="A1741" s="1"/>
      <c r="B1741" s="3"/>
      <c r="C1741" s="1"/>
      <c r="D1741" s="17"/>
    </row>
    <row x14ac:dyDescent="0.25" r="1742" customHeight="1" ht="18.75">
      <c r="A1742" s="1"/>
      <c r="B1742" s="3"/>
      <c r="C1742" s="1"/>
      <c r="D1742" s="17"/>
    </row>
    <row x14ac:dyDescent="0.25" r="1743" customHeight="1" ht="18.75">
      <c r="A1743" s="1"/>
      <c r="B1743" s="3"/>
      <c r="C1743" s="1"/>
      <c r="D1743" s="17"/>
    </row>
    <row x14ac:dyDescent="0.25" r="1744" customHeight="1" ht="18.75">
      <c r="A1744" s="1"/>
      <c r="B1744" s="3"/>
      <c r="C1744" s="1"/>
      <c r="D1744" s="17"/>
    </row>
    <row x14ac:dyDescent="0.25" r="1745" customHeight="1" ht="18.75">
      <c r="A1745" s="1"/>
      <c r="B1745" s="3"/>
      <c r="C1745" s="1"/>
      <c r="D1745" s="17"/>
    </row>
    <row x14ac:dyDescent="0.25" r="1746" customHeight="1" ht="18.75">
      <c r="A1746" s="1"/>
      <c r="B1746" s="3"/>
      <c r="C1746" s="1"/>
      <c r="D1746" s="17"/>
    </row>
    <row x14ac:dyDescent="0.25" r="1747" customHeight="1" ht="18.75">
      <c r="A1747" s="1"/>
      <c r="B1747" s="3"/>
      <c r="C1747" s="1"/>
      <c r="D1747" s="17"/>
    </row>
    <row x14ac:dyDescent="0.25" r="1748" customHeight="1" ht="18.75">
      <c r="A1748" s="1"/>
      <c r="B1748" s="3"/>
      <c r="C1748" s="1"/>
      <c r="D1748" s="17"/>
    </row>
    <row x14ac:dyDescent="0.25" r="1749" customHeight="1" ht="18.75">
      <c r="A1749" s="1"/>
      <c r="B1749" s="3"/>
      <c r="C1749" s="1"/>
      <c r="D1749" s="17"/>
    </row>
    <row x14ac:dyDescent="0.25" r="1750" customHeight="1" ht="18.75">
      <c r="A1750" s="1"/>
      <c r="B1750" s="3"/>
      <c r="C1750" s="1"/>
      <c r="D1750" s="17"/>
    </row>
    <row x14ac:dyDescent="0.25" r="1751" customHeight="1" ht="18.75">
      <c r="A1751" s="1"/>
      <c r="B1751" s="3"/>
      <c r="C1751" s="1"/>
      <c r="D1751" s="17"/>
    </row>
    <row x14ac:dyDescent="0.25" r="1752" customHeight="1" ht="18.75">
      <c r="A1752" s="1"/>
      <c r="B1752" s="3"/>
      <c r="C1752" s="1"/>
      <c r="D1752" s="17"/>
    </row>
    <row x14ac:dyDescent="0.25" r="1753" customHeight="1" ht="18.75">
      <c r="A1753" s="1"/>
      <c r="B1753" s="3"/>
      <c r="C1753" s="1"/>
      <c r="D1753" s="17"/>
    </row>
    <row x14ac:dyDescent="0.25" r="1754" customHeight="1" ht="18.75">
      <c r="A1754" s="1"/>
      <c r="B1754" s="3"/>
      <c r="C1754" s="1"/>
      <c r="D1754" s="17"/>
    </row>
    <row x14ac:dyDescent="0.25" r="1755" customHeight="1" ht="18.75">
      <c r="A1755" s="1"/>
      <c r="B1755" s="3"/>
      <c r="C1755" s="1"/>
      <c r="D1755" s="17"/>
    </row>
    <row x14ac:dyDescent="0.25" r="1756" customHeight="1" ht="18.75">
      <c r="A1756" s="1"/>
      <c r="B1756" s="3"/>
      <c r="C1756" s="1"/>
      <c r="D1756" s="17"/>
    </row>
    <row x14ac:dyDescent="0.25" r="1757" customHeight="1" ht="18.75">
      <c r="A1757" s="1"/>
      <c r="B1757" s="3"/>
      <c r="C1757" s="1"/>
      <c r="D1757" s="17"/>
    </row>
    <row x14ac:dyDescent="0.25" r="1758" customHeight="1" ht="18.75">
      <c r="A1758" s="1"/>
      <c r="B1758" s="3"/>
      <c r="C1758" s="1"/>
      <c r="D1758" s="17"/>
    </row>
    <row x14ac:dyDescent="0.25" r="1759" customHeight="1" ht="18.75">
      <c r="A1759" s="1"/>
      <c r="B1759" s="3"/>
      <c r="C1759" s="1"/>
      <c r="D1759" s="17"/>
    </row>
    <row x14ac:dyDescent="0.25" r="1760" customHeight="1" ht="18.75">
      <c r="A1760" s="1"/>
      <c r="B1760" s="3"/>
      <c r="C1760" s="1"/>
      <c r="D1760" s="17"/>
    </row>
    <row x14ac:dyDescent="0.25" r="1761" customHeight="1" ht="18.75">
      <c r="A1761" s="1"/>
      <c r="B1761" s="3"/>
      <c r="C1761" s="1"/>
      <c r="D1761" s="17"/>
    </row>
    <row x14ac:dyDescent="0.25" r="1762" customHeight="1" ht="18.75">
      <c r="A1762" s="1"/>
      <c r="B1762" s="3"/>
      <c r="C1762" s="1"/>
      <c r="D1762" s="17"/>
    </row>
    <row x14ac:dyDescent="0.25" r="1763" customHeight="1" ht="18.75">
      <c r="A1763" s="1"/>
      <c r="B1763" s="3"/>
      <c r="C1763" s="1"/>
      <c r="D1763" s="17"/>
    </row>
    <row x14ac:dyDescent="0.25" r="1764" customHeight="1" ht="18.75">
      <c r="A1764" s="1"/>
      <c r="B1764" s="3"/>
      <c r="C1764" s="1"/>
      <c r="D1764" s="17"/>
    </row>
    <row x14ac:dyDescent="0.25" r="1765" customHeight="1" ht="18.75">
      <c r="A1765" s="1"/>
      <c r="B1765" s="3"/>
      <c r="C1765" s="1"/>
      <c r="D1765" s="17"/>
    </row>
    <row x14ac:dyDescent="0.25" r="1766" customHeight="1" ht="18.75">
      <c r="A1766" s="1"/>
      <c r="B1766" s="3"/>
      <c r="C1766" s="1"/>
      <c r="D1766" s="17"/>
    </row>
    <row x14ac:dyDescent="0.25" r="1767" customHeight="1" ht="18.75">
      <c r="A1767" s="1"/>
      <c r="B1767" s="3"/>
      <c r="C1767" s="1"/>
      <c r="D1767" s="17"/>
    </row>
    <row x14ac:dyDescent="0.25" r="1768" customHeight="1" ht="18.75">
      <c r="A1768" s="1"/>
      <c r="B1768" s="3"/>
      <c r="C1768" s="1"/>
      <c r="D1768" s="17"/>
    </row>
    <row x14ac:dyDescent="0.25" r="1769" customHeight="1" ht="18.75">
      <c r="A1769" s="1"/>
      <c r="B1769" s="3"/>
      <c r="C1769" s="1"/>
      <c r="D1769" s="17"/>
    </row>
    <row x14ac:dyDescent="0.25" r="1770" customHeight="1" ht="18.75">
      <c r="A1770" s="1"/>
      <c r="B1770" s="3"/>
      <c r="C1770" s="1"/>
      <c r="D1770" s="17"/>
    </row>
    <row x14ac:dyDescent="0.25" r="1771" customHeight="1" ht="18.75">
      <c r="A1771" s="1"/>
      <c r="B1771" s="3"/>
      <c r="C1771" s="1"/>
      <c r="D1771" s="17"/>
    </row>
    <row x14ac:dyDescent="0.25" r="1772" customHeight="1" ht="18.75">
      <c r="A1772" s="1"/>
      <c r="B1772" s="3"/>
      <c r="C1772" s="1"/>
      <c r="D1772" s="17"/>
    </row>
    <row x14ac:dyDescent="0.25" r="1773" customHeight="1" ht="18.75">
      <c r="A1773" s="1"/>
      <c r="B1773" s="3"/>
      <c r="C1773" s="1"/>
      <c r="D1773" s="17"/>
    </row>
    <row x14ac:dyDescent="0.25" r="1774" customHeight="1" ht="18.75">
      <c r="A1774" s="1"/>
      <c r="B1774" s="3"/>
      <c r="C1774" s="1"/>
      <c r="D1774" s="17"/>
    </row>
    <row x14ac:dyDescent="0.25" r="1775" customHeight="1" ht="18.75">
      <c r="A1775" s="1"/>
      <c r="B1775" s="3"/>
      <c r="C1775" s="1"/>
      <c r="D1775" s="17"/>
    </row>
    <row x14ac:dyDescent="0.25" r="1776" customHeight="1" ht="18.75">
      <c r="A1776" s="1"/>
      <c r="B1776" s="3"/>
      <c r="C1776" s="1"/>
      <c r="D1776" s="17"/>
    </row>
    <row x14ac:dyDescent="0.25" r="1777" customHeight="1" ht="18.75">
      <c r="A1777" s="1"/>
      <c r="B1777" s="3"/>
      <c r="C1777" s="1"/>
      <c r="D1777" s="17"/>
    </row>
    <row x14ac:dyDescent="0.25" r="1778" customHeight="1" ht="18.75">
      <c r="A1778" s="1"/>
      <c r="B1778" s="3"/>
      <c r="C1778" s="1"/>
      <c r="D1778" s="17"/>
    </row>
    <row x14ac:dyDescent="0.25" r="1779" customHeight="1" ht="18.75">
      <c r="A1779" s="1"/>
      <c r="B1779" s="3"/>
      <c r="C1779" s="1"/>
      <c r="D1779" s="17"/>
    </row>
    <row x14ac:dyDescent="0.25" r="1780" customHeight="1" ht="18.75">
      <c r="A1780" s="1"/>
      <c r="B1780" s="3"/>
      <c r="C1780" s="1"/>
      <c r="D1780" s="17"/>
    </row>
    <row x14ac:dyDescent="0.25" r="1781" customHeight="1" ht="18.75">
      <c r="A1781" s="1"/>
      <c r="B1781" s="3"/>
      <c r="C1781" s="1"/>
      <c r="D1781" s="17"/>
    </row>
    <row x14ac:dyDescent="0.25" r="1782" customHeight="1" ht="18.75">
      <c r="A1782" s="1"/>
      <c r="B1782" s="3"/>
      <c r="C1782" s="1"/>
      <c r="D1782" s="17"/>
    </row>
    <row x14ac:dyDescent="0.25" r="1783" customHeight="1" ht="18.75">
      <c r="A1783" s="1"/>
      <c r="B1783" s="3"/>
      <c r="C1783" s="1"/>
      <c r="D1783" s="17"/>
    </row>
    <row x14ac:dyDescent="0.25" r="1784" customHeight="1" ht="18.75">
      <c r="A1784" s="1"/>
      <c r="B1784" s="3"/>
      <c r="C1784" s="1"/>
      <c r="D1784" s="17"/>
    </row>
    <row x14ac:dyDescent="0.25" r="1785" customHeight="1" ht="18.75">
      <c r="A1785" s="1"/>
      <c r="B1785" s="3"/>
      <c r="C1785" s="1"/>
      <c r="D1785" s="17"/>
    </row>
    <row x14ac:dyDescent="0.25" r="1786" customHeight="1" ht="18.75">
      <c r="A1786" s="1"/>
      <c r="B1786" s="3"/>
      <c r="C1786" s="1"/>
      <c r="D1786" s="17"/>
    </row>
    <row x14ac:dyDescent="0.25" r="1787" customHeight="1" ht="18.75">
      <c r="A1787" s="1"/>
      <c r="B1787" s="3"/>
      <c r="C1787" s="1"/>
      <c r="D1787" s="17"/>
    </row>
    <row x14ac:dyDescent="0.25" r="1788" customHeight="1" ht="18.75">
      <c r="A1788" s="1"/>
      <c r="B1788" s="3"/>
      <c r="C1788" s="1"/>
      <c r="D1788" s="17"/>
    </row>
    <row x14ac:dyDescent="0.25" r="1789" customHeight="1" ht="18.75">
      <c r="A1789" s="1"/>
      <c r="B1789" s="3"/>
      <c r="C1789" s="1"/>
      <c r="D1789" s="17"/>
    </row>
    <row x14ac:dyDescent="0.25" r="1790" customHeight="1" ht="18.75">
      <c r="A1790" s="1"/>
      <c r="B1790" s="3"/>
      <c r="C1790" s="1"/>
      <c r="D1790" s="17"/>
    </row>
    <row x14ac:dyDescent="0.25" r="1791" customHeight="1" ht="18.75">
      <c r="A1791" s="1"/>
      <c r="B1791" s="3"/>
      <c r="C1791" s="1"/>
      <c r="D1791" s="17"/>
    </row>
    <row x14ac:dyDescent="0.25" r="1792" customHeight="1" ht="18.75">
      <c r="A1792" s="1"/>
      <c r="B1792" s="3"/>
      <c r="C1792" s="1"/>
      <c r="D1792" s="17"/>
    </row>
    <row x14ac:dyDescent="0.25" r="1793" customHeight="1" ht="18.75">
      <c r="A1793" s="1"/>
      <c r="B1793" s="3"/>
      <c r="C1793" s="1"/>
      <c r="D1793" s="17"/>
    </row>
    <row x14ac:dyDescent="0.25" r="1794" customHeight="1" ht="18.75">
      <c r="A1794" s="1"/>
      <c r="B1794" s="3"/>
      <c r="C1794" s="1"/>
      <c r="D1794" s="17"/>
    </row>
    <row x14ac:dyDescent="0.25" r="1795" customHeight="1" ht="18.75">
      <c r="A1795" s="1"/>
      <c r="B1795" s="3"/>
      <c r="C1795" s="1"/>
      <c r="D1795" s="17"/>
    </row>
    <row x14ac:dyDescent="0.25" r="1796" customHeight="1" ht="18.75">
      <c r="A1796" s="1"/>
      <c r="B1796" s="3"/>
      <c r="C1796" s="1"/>
      <c r="D1796" s="17"/>
    </row>
    <row x14ac:dyDescent="0.25" r="1797" customHeight="1" ht="18.75">
      <c r="A1797" s="1"/>
      <c r="B1797" s="3"/>
      <c r="C1797" s="1"/>
      <c r="D1797" s="17"/>
    </row>
    <row x14ac:dyDescent="0.25" r="1798" customHeight="1" ht="18.75">
      <c r="A1798" s="1"/>
      <c r="B1798" s="3"/>
      <c r="C1798" s="1"/>
      <c r="D1798" s="17"/>
    </row>
    <row x14ac:dyDescent="0.25" r="1799" customHeight="1" ht="18.75">
      <c r="A1799" s="1"/>
      <c r="B1799" s="3"/>
      <c r="C1799" s="1"/>
      <c r="D1799" s="17"/>
    </row>
    <row x14ac:dyDescent="0.25" r="1800" customHeight="1" ht="18.75">
      <c r="A1800" s="1"/>
      <c r="B1800" s="3"/>
      <c r="C1800" s="1"/>
      <c r="D1800" s="17"/>
    </row>
    <row x14ac:dyDescent="0.25" r="1801" customHeight="1" ht="18.75">
      <c r="A1801" s="1"/>
      <c r="B1801" s="3"/>
      <c r="C1801" s="1"/>
      <c r="D1801" s="17"/>
    </row>
    <row x14ac:dyDescent="0.25" r="1802" customHeight="1" ht="18.75">
      <c r="A1802" s="1"/>
      <c r="B1802" s="3"/>
      <c r="C1802" s="1"/>
      <c r="D1802" s="17"/>
    </row>
    <row x14ac:dyDescent="0.25" r="1803" customHeight="1" ht="18.75">
      <c r="A1803" s="1"/>
      <c r="B1803" s="3"/>
      <c r="C1803" s="1"/>
      <c r="D1803" s="17"/>
    </row>
    <row x14ac:dyDescent="0.25" r="1804" customHeight="1" ht="18.75">
      <c r="A1804" s="1"/>
      <c r="B1804" s="3"/>
      <c r="C1804" s="1"/>
      <c r="D1804" s="17"/>
    </row>
    <row x14ac:dyDescent="0.25" r="1805" customHeight="1" ht="18.75">
      <c r="A1805" s="1"/>
      <c r="B1805" s="3"/>
      <c r="C1805" s="1"/>
      <c r="D1805" s="17"/>
    </row>
    <row x14ac:dyDescent="0.25" r="1806" customHeight="1" ht="18.75">
      <c r="A1806" s="1"/>
      <c r="B1806" s="3"/>
      <c r="C1806" s="1"/>
      <c r="D1806" s="17"/>
    </row>
    <row x14ac:dyDescent="0.25" r="1807" customHeight="1" ht="18.75">
      <c r="A1807" s="1"/>
      <c r="B1807" s="3"/>
      <c r="C1807" s="1"/>
      <c r="D1807" s="17"/>
    </row>
    <row x14ac:dyDescent="0.25" r="1808" customHeight="1" ht="18.75">
      <c r="A1808" s="1"/>
      <c r="B1808" s="3"/>
      <c r="C1808" s="1"/>
      <c r="D1808" s="17"/>
    </row>
    <row x14ac:dyDescent="0.25" r="1809" customHeight="1" ht="18.75">
      <c r="A1809" s="1"/>
      <c r="B1809" s="3"/>
      <c r="C1809" s="1"/>
      <c r="D1809" s="17"/>
    </row>
    <row x14ac:dyDescent="0.25" r="1810" customHeight="1" ht="18.75">
      <c r="A1810" s="1"/>
      <c r="B1810" s="3"/>
      <c r="C1810" s="1"/>
      <c r="D1810" s="17"/>
    </row>
    <row x14ac:dyDescent="0.25" r="1811" customHeight="1" ht="18.75">
      <c r="A1811" s="1"/>
      <c r="B1811" s="3"/>
      <c r="C1811" s="1"/>
      <c r="D1811" s="17"/>
    </row>
    <row x14ac:dyDescent="0.25" r="1812" customHeight="1" ht="18.75">
      <c r="A1812" s="1"/>
      <c r="B1812" s="3"/>
      <c r="C1812" s="1"/>
      <c r="D1812" s="17"/>
    </row>
    <row x14ac:dyDescent="0.25" r="1813" customHeight="1" ht="18.75">
      <c r="A1813" s="1"/>
      <c r="B1813" s="3"/>
      <c r="C1813" s="1"/>
      <c r="D1813" s="17"/>
    </row>
    <row x14ac:dyDescent="0.25" r="1814" customHeight="1" ht="18.75">
      <c r="A1814" s="1"/>
      <c r="B1814" s="3"/>
      <c r="C1814" s="1"/>
      <c r="D1814" s="17"/>
    </row>
    <row x14ac:dyDescent="0.25" r="1815" customHeight="1" ht="18.75">
      <c r="A1815" s="1"/>
      <c r="B1815" s="3"/>
      <c r="C1815" s="1"/>
      <c r="D1815" s="17"/>
    </row>
    <row x14ac:dyDescent="0.25" r="1816" customHeight="1" ht="18.75">
      <c r="A1816" s="1"/>
      <c r="B1816" s="3"/>
      <c r="C1816" s="1"/>
      <c r="D1816" s="17"/>
    </row>
    <row x14ac:dyDescent="0.25" r="1817" customHeight="1" ht="18.75">
      <c r="A1817" s="1"/>
      <c r="B1817" s="3"/>
      <c r="C1817" s="1"/>
      <c r="D1817" s="17"/>
    </row>
    <row x14ac:dyDescent="0.25" r="1818" customHeight="1" ht="18.75">
      <c r="A1818" s="1"/>
      <c r="B1818" s="3"/>
      <c r="C1818" s="1"/>
      <c r="D1818" s="17"/>
    </row>
    <row x14ac:dyDescent="0.25" r="1819" customHeight="1" ht="18.75">
      <c r="A1819" s="1"/>
      <c r="B1819" s="3"/>
      <c r="C1819" s="1"/>
      <c r="D1819" s="17"/>
    </row>
    <row x14ac:dyDescent="0.25" r="1820" customHeight="1" ht="18.75">
      <c r="A1820" s="1"/>
      <c r="B1820" s="3"/>
      <c r="C1820" s="1"/>
      <c r="D1820" s="17"/>
    </row>
    <row x14ac:dyDescent="0.25" r="1821" customHeight="1" ht="18.75">
      <c r="A1821" s="1"/>
      <c r="B1821" s="3"/>
      <c r="C1821" s="1"/>
      <c r="D1821" s="17"/>
    </row>
    <row x14ac:dyDescent="0.25" r="1822" customHeight="1" ht="18.75">
      <c r="A1822" s="1"/>
      <c r="B1822" s="3"/>
      <c r="C1822" s="1"/>
      <c r="D1822" s="17"/>
    </row>
    <row x14ac:dyDescent="0.25" r="1823" customHeight="1" ht="18.75">
      <c r="A1823" s="1"/>
      <c r="B1823" s="3"/>
      <c r="C1823" s="1"/>
      <c r="D1823" s="17"/>
    </row>
    <row x14ac:dyDescent="0.25" r="1824" customHeight="1" ht="18.75">
      <c r="A1824" s="1"/>
      <c r="B1824" s="3"/>
      <c r="C1824" s="1"/>
      <c r="D1824" s="17"/>
    </row>
    <row x14ac:dyDescent="0.25" r="1825" customHeight="1" ht="18.75">
      <c r="A1825" s="1"/>
      <c r="B1825" s="3"/>
      <c r="C1825" s="1"/>
      <c r="D1825" s="17"/>
    </row>
    <row x14ac:dyDescent="0.25" r="1826" customHeight="1" ht="18.75">
      <c r="A1826" s="1"/>
      <c r="B1826" s="3"/>
      <c r="C1826" s="1"/>
      <c r="D1826" s="17"/>
    </row>
    <row x14ac:dyDescent="0.25" r="1827" customHeight="1" ht="18.75">
      <c r="A1827" s="1"/>
      <c r="B1827" s="3"/>
      <c r="C1827" s="1"/>
      <c r="D1827" s="17"/>
    </row>
    <row x14ac:dyDescent="0.25" r="1828" customHeight="1" ht="18.75">
      <c r="A1828" s="1"/>
      <c r="B1828" s="3"/>
      <c r="C1828" s="1"/>
      <c r="D1828" s="17"/>
    </row>
    <row x14ac:dyDescent="0.25" r="1829" customHeight="1" ht="18.75">
      <c r="A1829" s="1"/>
      <c r="B1829" s="3"/>
      <c r="C1829" s="1"/>
      <c r="D1829" s="17"/>
    </row>
    <row x14ac:dyDescent="0.25" r="1830" customHeight="1" ht="18.75">
      <c r="A1830" s="1"/>
      <c r="B1830" s="3"/>
      <c r="C1830" s="1"/>
      <c r="D1830" s="17"/>
    </row>
    <row x14ac:dyDescent="0.25" r="1831" customHeight="1" ht="18.75">
      <c r="A1831" s="1"/>
      <c r="B1831" s="3"/>
      <c r="C1831" s="1"/>
      <c r="D1831" s="17"/>
    </row>
    <row x14ac:dyDescent="0.25" r="1832" customHeight="1" ht="18.75">
      <c r="A1832" s="1"/>
      <c r="B1832" s="3"/>
      <c r="C1832" s="1"/>
      <c r="D1832" s="17"/>
    </row>
    <row x14ac:dyDescent="0.25" r="1833" customHeight="1" ht="18.75">
      <c r="A1833" s="1"/>
      <c r="B1833" s="3"/>
      <c r="C1833" s="1"/>
      <c r="D1833" s="17"/>
    </row>
    <row x14ac:dyDescent="0.25" r="1834" customHeight="1" ht="18.75">
      <c r="A1834" s="1"/>
      <c r="B1834" s="3"/>
      <c r="C1834" s="1"/>
      <c r="D1834" s="17"/>
    </row>
    <row x14ac:dyDescent="0.25" r="1835" customHeight="1" ht="18.75">
      <c r="A1835" s="1"/>
      <c r="B1835" s="3"/>
      <c r="C1835" s="1"/>
      <c r="D1835" s="17"/>
    </row>
    <row x14ac:dyDescent="0.25" r="1836" customHeight="1" ht="18.75">
      <c r="A1836" s="1"/>
      <c r="B1836" s="3"/>
      <c r="C1836" s="1"/>
      <c r="D1836" s="17"/>
    </row>
    <row x14ac:dyDescent="0.25" r="1837" customHeight="1" ht="18.75">
      <c r="A1837" s="1"/>
      <c r="B1837" s="3"/>
      <c r="C1837" s="1"/>
      <c r="D1837" s="17"/>
    </row>
    <row x14ac:dyDescent="0.25" r="1838" customHeight="1" ht="18.75">
      <c r="A1838" s="1"/>
      <c r="B1838" s="3"/>
      <c r="C1838" s="1"/>
      <c r="D1838" s="17"/>
    </row>
    <row x14ac:dyDescent="0.25" r="1839" customHeight="1" ht="18.75">
      <c r="A1839" s="1"/>
      <c r="B1839" s="3"/>
      <c r="C1839" s="1"/>
      <c r="D1839" s="17"/>
    </row>
    <row x14ac:dyDescent="0.25" r="1840" customHeight="1" ht="18.75">
      <c r="A1840" s="1"/>
      <c r="B1840" s="3"/>
      <c r="C1840" s="1"/>
      <c r="D1840" s="17"/>
    </row>
    <row x14ac:dyDescent="0.25" r="1841" customHeight="1" ht="18.75">
      <c r="A1841" s="1"/>
      <c r="B1841" s="3"/>
      <c r="C1841" s="1"/>
      <c r="D1841" s="17"/>
    </row>
    <row x14ac:dyDescent="0.25" r="1842" customHeight="1" ht="18.75">
      <c r="A1842" s="1"/>
      <c r="B1842" s="3"/>
      <c r="C1842" s="1"/>
      <c r="D1842" s="17"/>
    </row>
    <row x14ac:dyDescent="0.25" r="1843" customHeight="1" ht="18.75">
      <c r="A1843" s="1"/>
      <c r="B1843" s="3"/>
      <c r="C1843" s="1"/>
      <c r="D1843" s="17"/>
    </row>
    <row x14ac:dyDescent="0.25" r="1844" customHeight="1" ht="18.75">
      <c r="A1844" s="1"/>
      <c r="B1844" s="3"/>
      <c r="C1844" s="1"/>
      <c r="D1844" s="17"/>
    </row>
    <row x14ac:dyDescent="0.25" r="1845" customHeight="1" ht="18.75">
      <c r="A1845" s="1"/>
      <c r="B1845" s="3"/>
      <c r="C1845" s="1"/>
      <c r="D1845" s="17"/>
    </row>
    <row x14ac:dyDescent="0.25" r="1846" customHeight="1" ht="18.75">
      <c r="A1846" s="1"/>
      <c r="B1846" s="3"/>
      <c r="C1846" s="1"/>
      <c r="D1846" s="17"/>
    </row>
    <row x14ac:dyDescent="0.25" r="1847" customHeight="1" ht="18.75">
      <c r="A1847" s="1"/>
      <c r="B1847" s="3"/>
      <c r="C1847" s="1"/>
      <c r="D1847" s="17"/>
    </row>
    <row x14ac:dyDescent="0.25" r="1848" customHeight="1" ht="18.75">
      <c r="A1848" s="1"/>
      <c r="B1848" s="3"/>
      <c r="C1848" s="1"/>
      <c r="D1848" s="17"/>
    </row>
    <row x14ac:dyDescent="0.25" r="1849" customHeight="1" ht="18.75">
      <c r="A1849" s="1"/>
      <c r="B1849" s="3"/>
      <c r="C1849" s="1"/>
      <c r="D1849" s="17"/>
    </row>
    <row x14ac:dyDescent="0.25" r="1850" customHeight="1" ht="18.75">
      <c r="A1850" s="1"/>
      <c r="B1850" s="3"/>
      <c r="C1850" s="1"/>
      <c r="D1850" s="17"/>
    </row>
    <row x14ac:dyDescent="0.25" r="1851" customHeight="1" ht="18.75">
      <c r="A1851" s="1"/>
      <c r="B1851" s="3"/>
      <c r="C1851" s="1"/>
      <c r="D1851" s="17"/>
    </row>
    <row x14ac:dyDescent="0.25" r="1852" customHeight="1" ht="18.75">
      <c r="A1852" s="1"/>
      <c r="B1852" s="3"/>
      <c r="C1852" s="1"/>
      <c r="D1852" s="17"/>
    </row>
    <row x14ac:dyDescent="0.25" r="1853" customHeight="1" ht="18.75">
      <c r="A1853" s="1"/>
      <c r="B1853" s="3"/>
      <c r="C1853" s="1"/>
      <c r="D1853" s="17"/>
    </row>
    <row x14ac:dyDescent="0.25" r="1854" customHeight="1" ht="18.75">
      <c r="A1854" s="1"/>
      <c r="B1854" s="3"/>
      <c r="C1854" s="1"/>
      <c r="D1854" s="17"/>
    </row>
    <row x14ac:dyDescent="0.25" r="1855" customHeight="1" ht="18.75">
      <c r="A1855" s="1"/>
      <c r="B1855" s="3"/>
      <c r="C1855" s="1"/>
      <c r="D1855" s="17"/>
    </row>
    <row x14ac:dyDescent="0.25" r="1856" customHeight="1" ht="18.75">
      <c r="A1856" s="1"/>
      <c r="B1856" s="3"/>
      <c r="C1856" s="1"/>
      <c r="D1856" s="17"/>
    </row>
    <row x14ac:dyDescent="0.25" r="1857" customHeight="1" ht="18.75">
      <c r="A1857" s="1"/>
      <c r="B1857" s="3"/>
      <c r="C1857" s="1"/>
      <c r="D1857" s="17"/>
    </row>
    <row x14ac:dyDescent="0.25" r="1858" customHeight="1" ht="18.75">
      <c r="A1858" s="1"/>
      <c r="B1858" s="3"/>
      <c r="C1858" s="1"/>
      <c r="D1858" s="17"/>
    </row>
    <row x14ac:dyDescent="0.25" r="1859" customHeight="1" ht="18.75">
      <c r="A1859" s="1"/>
      <c r="B1859" s="3"/>
      <c r="C1859" s="1"/>
      <c r="D1859" s="17"/>
    </row>
    <row x14ac:dyDescent="0.25" r="1860" customHeight="1" ht="18.75">
      <c r="A1860" s="1"/>
      <c r="B1860" s="3"/>
      <c r="C1860" s="1"/>
      <c r="D1860" s="17"/>
    </row>
    <row x14ac:dyDescent="0.25" r="1861" customHeight="1" ht="18.75">
      <c r="A1861" s="1"/>
      <c r="B1861" s="3"/>
      <c r="C1861" s="1"/>
      <c r="D1861" s="17"/>
    </row>
    <row x14ac:dyDescent="0.25" r="1862" customHeight="1" ht="18.75">
      <c r="A1862" s="1"/>
      <c r="B1862" s="3"/>
      <c r="C1862" s="1"/>
      <c r="D1862" s="17"/>
    </row>
    <row x14ac:dyDescent="0.25" r="1863" customHeight="1" ht="18.75">
      <c r="A1863" s="1"/>
      <c r="B1863" s="3"/>
      <c r="C1863" s="1"/>
      <c r="D1863" s="17"/>
    </row>
    <row x14ac:dyDescent="0.25" r="1864" customHeight="1" ht="18.75">
      <c r="A1864" s="1"/>
      <c r="B1864" s="3"/>
      <c r="C1864" s="1"/>
      <c r="D1864" s="17"/>
    </row>
    <row x14ac:dyDescent="0.25" r="1865" customHeight="1" ht="18.75">
      <c r="A1865" s="1"/>
      <c r="B1865" s="3"/>
      <c r="C1865" s="1"/>
      <c r="D1865" s="17"/>
    </row>
    <row x14ac:dyDescent="0.25" r="1866" customHeight="1" ht="18.75">
      <c r="A1866" s="1"/>
      <c r="B1866" s="3"/>
      <c r="C1866" s="1"/>
      <c r="D1866" s="17"/>
    </row>
    <row x14ac:dyDescent="0.25" r="1867" customHeight="1" ht="18.75">
      <c r="A1867" s="1"/>
      <c r="B1867" s="3"/>
      <c r="C1867" s="1"/>
      <c r="D1867" s="17"/>
    </row>
    <row x14ac:dyDescent="0.25" r="1868" customHeight="1" ht="18.75">
      <c r="A1868" s="1"/>
      <c r="B1868" s="3"/>
      <c r="C1868" s="1"/>
      <c r="D1868" s="17"/>
    </row>
    <row x14ac:dyDescent="0.25" r="1869" customHeight="1" ht="18.75">
      <c r="A1869" s="1"/>
      <c r="B1869" s="3"/>
      <c r="C1869" s="1"/>
      <c r="D1869" s="17"/>
    </row>
    <row x14ac:dyDescent="0.25" r="1870" customHeight="1" ht="18.75">
      <c r="A1870" s="1"/>
      <c r="B1870" s="3"/>
      <c r="C1870" s="1"/>
      <c r="D1870" s="17"/>
    </row>
    <row x14ac:dyDescent="0.25" r="1871" customHeight="1" ht="18.75">
      <c r="A1871" s="1"/>
      <c r="B1871" s="3"/>
      <c r="C1871" s="1"/>
      <c r="D1871" s="17"/>
    </row>
    <row x14ac:dyDescent="0.25" r="1872" customHeight="1" ht="18.75">
      <c r="A1872" s="1"/>
      <c r="B1872" s="3"/>
      <c r="C1872" s="1"/>
      <c r="D1872" s="17"/>
    </row>
    <row x14ac:dyDescent="0.25" r="1873" customHeight="1" ht="18.75">
      <c r="A1873" s="1"/>
      <c r="B1873" s="3"/>
      <c r="C1873" s="1"/>
      <c r="D1873" s="17"/>
    </row>
    <row x14ac:dyDescent="0.25" r="1874" customHeight="1" ht="18.75">
      <c r="A1874" s="1"/>
      <c r="B1874" s="3"/>
      <c r="C1874" s="1"/>
      <c r="D1874" s="17"/>
    </row>
    <row x14ac:dyDescent="0.25" r="1875" customHeight="1" ht="18.75">
      <c r="A1875" s="1"/>
      <c r="B1875" s="3"/>
      <c r="C1875" s="1"/>
      <c r="D1875" s="17"/>
    </row>
    <row x14ac:dyDescent="0.25" r="1876" customHeight="1" ht="18.75">
      <c r="A1876" s="1"/>
      <c r="B1876" s="3"/>
      <c r="C1876" s="1"/>
      <c r="D1876" s="17"/>
    </row>
    <row x14ac:dyDescent="0.25" r="1877" customHeight="1" ht="18.75">
      <c r="A1877" s="1"/>
      <c r="B1877" s="3"/>
      <c r="C1877" s="1"/>
      <c r="D1877" s="17"/>
    </row>
    <row x14ac:dyDescent="0.25" r="1878" customHeight="1" ht="18.75">
      <c r="A1878" s="1"/>
      <c r="B1878" s="3"/>
      <c r="C1878" s="1"/>
      <c r="D1878" s="17"/>
    </row>
    <row x14ac:dyDescent="0.25" r="1879" customHeight="1" ht="18.75">
      <c r="A1879" s="1"/>
      <c r="B1879" s="3"/>
      <c r="C1879" s="1"/>
      <c r="D1879" s="17"/>
    </row>
    <row x14ac:dyDescent="0.25" r="1880" customHeight="1" ht="18.75">
      <c r="A1880" s="1"/>
      <c r="B1880" s="3"/>
      <c r="C1880" s="1"/>
      <c r="D1880" s="17"/>
    </row>
    <row x14ac:dyDescent="0.25" r="1881" customHeight="1" ht="18.75">
      <c r="A1881" s="1"/>
      <c r="B1881" s="3"/>
      <c r="C1881" s="1"/>
      <c r="D1881" s="17"/>
    </row>
    <row x14ac:dyDescent="0.25" r="1882" customHeight="1" ht="18.75">
      <c r="A1882" s="1"/>
      <c r="B1882" s="3"/>
      <c r="C1882" s="1"/>
      <c r="D1882" s="17"/>
    </row>
    <row x14ac:dyDescent="0.25" r="1883" customHeight="1" ht="18.75">
      <c r="A1883" s="1"/>
      <c r="B1883" s="3"/>
      <c r="C1883" s="1"/>
      <c r="D1883" s="17"/>
    </row>
    <row x14ac:dyDescent="0.25" r="1884" customHeight="1" ht="18.75">
      <c r="A1884" s="1"/>
      <c r="B1884" s="3"/>
      <c r="C1884" s="1"/>
      <c r="D1884" s="17"/>
    </row>
    <row x14ac:dyDescent="0.25" r="1885" customHeight="1" ht="18.75">
      <c r="A1885" s="1"/>
      <c r="B1885" s="3"/>
      <c r="C1885" s="1"/>
      <c r="D1885" s="17"/>
    </row>
    <row x14ac:dyDescent="0.25" r="1886" customHeight="1" ht="18.75">
      <c r="A1886" s="1"/>
      <c r="B1886" s="3"/>
      <c r="C1886" s="1"/>
      <c r="D1886" s="17"/>
    </row>
    <row x14ac:dyDescent="0.25" r="1887" customHeight="1" ht="18.75">
      <c r="A1887" s="1"/>
      <c r="B1887" s="3"/>
      <c r="C1887" s="1"/>
      <c r="D1887" s="17"/>
    </row>
    <row x14ac:dyDescent="0.25" r="1888" customHeight="1" ht="18.75">
      <c r="A1888" s="1"/>
      <c r="B1888" s="3"/>
      <c r="C1888" s="1"/>
      <c r="D1888" s="17"/>
    </row>
    <row x14ac:dyDescent="0.25" r="1889" customHeight="1" ht="18.75">
      <c r="A1889" s="1"/>
      <c r="B1889" s="3"/>
      <c r="C1889" s="1"/>
      <c r="D1889" s="17"/>
    </row>
    <row x14ac:dyDescent="0.25" r="1890" customHeight="1" ht="18.75">
      <c r="A1890" s="1"/>
      <c r="B1890" s="3"/>
      <c r="C1890" s="1"/>
      <c r="D1890" s="17"/>
    </row>
    <row x14ac:dyDescent="0.25" r="1891" customHeight="1" ht="18.75">
      <c r="A1891" s="1"/>
      <c r="B1891" s="3"/>
      <c r="C1891" s="1"/>
      <c r="D1891" s="17"/>
    </row>
    <row x14ac:dyDescent="0.25" r="1892" customHeight="1" ht="18.75">
      <c r="A1892" s="1"/>
      <c r="B1892" s="3"/>
      <c r="C1892" s="1"/>
      <c r="D1892" s="17"/>
    </row>
    <row x14ac:dyDescent="0.25" r="1893" customHeight="1" ht="18.75">
      <c r="A1893" s="1"/>
      <c r="B1893" s="3"/>
      <c r="C1893" s="1"/>
      <c r="D1893" s="17"/>
    </row>
    <row x14ac:dyDescent="0.25" r="1894" customHeight="1" ht="18.75">
      <c r="A1894" s="1"/>
      <c r="B1894" s="3"/>
      <c r="C1894" s="1"/>
      <c r="D1894" s="17"/>
    </row>
    <row x14ac:dyDescent="0.25" r="1895" customHeight="1" ht="18.75">
      <c r="A1895" s="1"/>
      <c r="B1895" s="3"/>
      <c r="C1895" s="1"/>
      <c r="D1895" s="17"/>
    </row>
    <row x14ac:dyDescent="0.25" r="1896" customHeight="1" ht="18.75">
      <c r="A1896" s="1"/>
      <c r="B1896" s="3"/>
      <c r="C1896" s="1"/>
      <c r="D1896" s="17"/>
    </row>
    <row x14ac:dyDescent="0.25" r="1897" customHeight="1" ht="18.75">
      <c r="A1897" s="1"/>
      <c r="B1897" s="3"/>
      <c r="C1897" s="1"/>
      <c r="D1897" s="17"/>
    </row>
    <row x14ac:dyDescent="0.25" r="1898" customHeight="1" ht="18.75">
      <c r="A1898" s="1"/>
      <c r="B1898" s="3"/>
      <c r="C1898" s="1"/>
      <c r="D1898" s="17"/>
    </row>
    <row x14ac:dyDescent="0.25" r="1899" customHeight="1" ht="18.75">
      <c r="A1899" s="1"/>
      <c r="B1899" s="3"/>
      <c r="C1899" s="1"/>
      <c r="D1899" s="17"/>
    </row>
    <row x14ac:dyDescent="0.25" r="1900" customHeight="1" ht="18.75">
      <c r="A1900" s="1"/>
      <c r="B1900" s="3"/>
      <c r="C1900" s="1"/>
      <c r="D1900" s="17"/>
    </row>
    <row x14ac:dyDescent="0.25" r="1901" customHeight="1" ht="18.75">
      <c r="A1901" s="1"/>
      <c r="B1901" s="3"/>
      <c r="C1901" s="1"/>
      <c r="D1901" s="17"/>
    </row>
    <row x14ac:dyDescent="0.25" r="1902" customHeight="1" ht="18.75">
      <c r="A1902" s="1"/>
      <c r="B1902" s="3"/>
      <c r="C1902" s="1"/>
      <c r="D1902" s="17"/>
    </row>
    <row x14ac:dyDescent="0.25" r="1903" customHeight="1" ht="18.75">
      <c r="A1903" s="1"/>
      <c r="B1903" s="3"/>
      <c r="C1903" s="1"/>
      <c r="D1903" s="17"/>
    </row>
    <row x14ac:dyDescent="0.25" r="1904" customHeight="1" ht="18.75">
      <c r="A1904" s="1"/>
      <c r="B1904" s="3"/>
      <c r="C1904" s="1"/>
      <c r="D1904" s="17"/>
    </row>
    <row x14ac:dyDescent="0.25" r="1905" customHeight="1" ht="18.75">
      <c r="A1905" s="1"/>
      <c r="B1905" s="3"/>
      <c r="C1905" s="1"/>
      <c r="D1905" s="17"/>
    </row>
    <row x14ac:dyDescent="0.25" r="1906" customHeight="1" ht="18.75">
      <c r="A1906" s="1"/>
      <c r="B1906" s="3"/>
      <c r="C1906" s="1"/>
      <c r="D1906" s="17"/>
    </row>
    <row x14ac:dyDescent="0.25" r="1907" customHeight="1" ht="18.75">
      <c r="A1907" s="1"/>
      <c r="B1907" s="3"/>
      <c r="C1907" s="1"/>
      <c r="D1907" s="17"/>
    </row>
    <row x14ac:dyDescent="0.25" r="1908" customHeight="1" ht="18.75">
      <c r="A1908" s="1"/>
      <c r="B1908" s="3"/>
      <c r="C1908" s="1"/>
      <c r="D1908" s="17"/>
    </row>
    <row x14ac:dyDescent="0.25" r="1909" customHeight="1" ht="18.75">
      <c r="A1909" s="1"/>
      <c r="B1909" s="3"/>
      <c r="C1909" s="1"/>
      <c r="D1909" s="17"/>
    </row>
    <row x14ac:dyDescent="0.25" r="1910" customHeight="1" ht="18.75">
      <c r="A1910" s="1"/>
      <c r="B1910" s="3"/>
      <c r="C1910" s="1"/>
      <c r="D1910" s="17"/>
    </row>
    <row x14ac:dyDescent="0.25" r="1911" customHeight="1" ht="18.75">
      <c r="A1911" s="1"/>
      <c r="B1911" s="3"/>
      <c r="C1911" s="1"/>
      <c r="D1911" s="17"/>
    </row>
    <row x14ac:dyDescent="0.25" r="1912" customHeight="1" ht="18.75">
      <c r="A1912" s="1"/>
      <c r="B1912" s="3"/>
      <c r="C1912" s="1"/>
      <c r="D1912" s="17"/>
    </row>
    <row x14ac:dyDescent="0.25" r="1913" customHeight="1" ht="18.75">
      <c r="A1913" s="1"/>
      <c r="B1913" s="3"/>
      <c r="C1913" s="1"/>
      <c r="D1913" s="17"/>
    </row>
    <row x14ac:dyDescent="0.25" r="1914" customHeight="1" ht="18.75">
      <c r="A1914" s="1"/>
      <c r="B1914" s="3"/>
      <c r="C1914" s="1"/>
      <c r="D1914" s="17"/>
    </row>
    <row x14ac:dyDescent="0.25" r="1915" customHeight="1" ht="18.75">
      <c r="A1915" s="1"/>
      <c r="B1915" s="3"/>
      <c r="C1915" s="1"/>
      <c r="D1915" s="17"/>
    </row>
    <row x14ac:dyDescent="0.25" r="1916" customHeight="1" ht="18.75">
      <c r="A1916" s="1"/>
      <c r="B1916" s="3"/>
      <c r="C1916" s="1"/>
      <c r="D1916" s="17"/>
    </row>
    <row x14ac:dyDescent="0.25" r="1917" customHeight="1" ht="18.75">
      <c r="A1917" s="1"/>
      <c r="B1917" s="3"/>
      <c r="C1917" s="1"/>
      <c r="D1917" s="17"/>
    </row>
    <row x14ac:dyDescent="0.25" r="1918" customHeight="1" ht="18.75">
      <c r="A1918" s="1"/>
      <c r="B1918" s="3"/>
      <c r="C1918" s="1"/>
      <c r="D1918" s="17"/>
    </row>
    <row x14ac:dyDescent="0.25" r="1919" customHeight="1" ht="18.75">
      <c r="A1919" s="1"/>
      <c r="B1919" s="3"/>
      <c r="C1919" s="1"/>
      <c r="D1919" s="17"/>
    </row>
    <row x14ac:dyDescent="0.25" r="1920" customHeight="1" ht="18.75">
      <c r="A1920" s="1"/>
      <c r="B1920" s="3"/>
      <c r="C1920" s="1"/>
      <c r="D1920" s="17"/>
    </row>
    <row x14ac:dyDescent="0.25" r="1921" customHeight="1" ht="18.75">
      <c r="A1921" s="1"/>
      <c r="B1921" s="3"/>
      <c r="C1921" s="1"/>
      <c r="D1921" s="17"/>
    </row>
    <row x14ac:dyDescent="0.25" r="1922" customHeight="1" ht="18.75">
      <c r="A1922" s="1"/>
      <c r="B1922" s="3"/>
      <c r="C1922" s="1"/>
      <c r="D1922" s="17"/>
    </row>
    <row x14ac:dyDescent="0.25" r="1923" customHeight="1" ht="18.75">
      <c r="A1923" s="1"/>
      <c r="B1923" s="3"/>
      <c r="C1923" s="1"/>
      <c r="D1923" s="17"/>
    </row>
    <row x14ac:dyDescent="0.25" r="1924" customHeight="1" ht="18.75">
      <c r="A1924" s="1"/>
      <c r="B1924" s="3"/>
      <c r="C1924" s="1"/>
      <c r="D1924" s="17"/>
    </row>
    <row x14ac:dyDescent="0.25" r="1925" customHeight="1" ht="18.75">
      <c r="A1925" s="1"/>
      <c r="B1925" s="3"/>
      <c r="C1925" s="1"/>
      <c r="D1925" s="17"/>
    </row>
    <row x14ac:dyDescent="0.25" r="1926" customHeight="1" ht="18.75">
      <c r="A1926" s="1"/>
      <c r="B1926" s="3"/>
      <c r="C1926" s="1"/>
      <c r="D1926" s="17"/>
    </row>
    <row x14ac:dyDescent="0.25" r="1927" customHeight="1" ht="18.75">
      <c r="A1927" s="1"/>
      <c r="B1927" s="3"/>
      <c r="C1927" s="1"/>
      <c r="D1927" s="17"/>
    </row>
    <row x14ac:dyDescent="0.25" r="1928" customHeight="1" ht="18.75">
      <c r="A1928" s="1"/>
      <c r="B1928" s="3"/>
      <c r="C1928" s="1"/>
      <c r="D1928" s="17"/>
    </row>
    <row x14ac:dyDescent="0.25" r="1929" customHeight="1" ht="18.75">
      <c r="A1929" s="1"/>
      <c r="B1929" s="3"/>
      <c r="C1929" s="1"/>
      <c r="D1929" s="17"/>
    </row>
    <row x14ac:dyDescent="0.25" r="1930" customHeight="1" ht="18.75">
      <c r="A1930" s="1"/>
      <c r="B1930" s="3"/>
      <c r="C1930" s="1"/>
      <c r="D1930" s="17"/>
    </row>
    <row x14ac:dyDescent="0.25" r="1931" customHeight="1" ht="18.75">
      <c r="A1931" s="1"/>
      <c r="B1931" s="3"/>
      <c r="C1931" s="1"/>
      <c r="D1931" s="17"/>
    </row>
    <row x14ac:dyDescent="0.25" r="1932" customHeight="1" ht="18.75">
      <c r="A1932" s="1"/>
      <c r="B1932" s="3"/>
      <c r="C1932" s="1"/>
      <c r="D1932" s="17"/>
    </row>
    <row x14ac:dyDescent="0.25" r="1933" customHeight="1" ht="18.75">
      <c r="A1933" s="1"/>
      <c r="B1933" s="3"/>
      <c r="C1933" s="1"/>
      <c r="D1933" s="17"/>
    </row>
    <row x14ac:dyDescent="0.25" r="1934" customHeight="1" ht="18.75">
      <c r="A1934" s="1"/>
      <c r="B1934" s="3"/>
      <c r="C1934" s="1"/>
      <c r="D1934" s="17"/>
    </row>
    <row x14ac:dyDescent="0.25" r="1935" customHeight="1" ht="18.75">
      <c r="A1935" s="1"/>
      <c r="B1935" s="3"/>
      <c r="C1935" s="1"/>
      <c r="D1935" s="17"/>
    </row>
    <row x14ac:dyDescent="0.25" r="1936" customHeight="1" ht="18.75">
      <c r="A1936" s="1"/>
      <c r="B1936" s="3"/>
      <c r="C1936" s="1"/>
      <c r="D1936" s="17"/>
    </row>
    <row x14ac:dyDescent="0.25" r="1937" customHeight="1" ht="18.75">
      <c r="A1937" s="1"/>
      <c r="B1937" s="3"/>
      <c r="C1937" s="1"/>
      <c r="D1937" s="17"/>
    </row>
    <row x14ac:dyDescent="0.25" r="1938" customHeight="1" ht="18.75">
      <c r="A1938" s="1"/>
      <c r="B1938" s="3"/>
      <c r="C1938" s="1"/>
      <c r="D1938" s="17"/>
    </row>
    <row x14ac:dyDescent="0.25" r="1939" customHeight="1" ht="18.75">
      <c r="A1939" s="1"/>
      <c r="B1939" s="3"/>
      <c r="C1939" s="1"/>
      <c r="D1939" s="17"/>
    </row>
    <row x14ac:dyDescent="0.25" r="1940" customHeight="1" ht="18.75">
      <c r="A1940" s="1"/>
      <c r="B1940" s="3"/>
      <c r="C1940" s="1"/>
      <c r="D1940" s="17"/>
    </row>
    <row x14ac:dyDescent="0.25" r="1941" customHeight="1" ht="18.75">
      <c r="A1941" s="1"/>
      <c r="B1941" s="3"/>
      <c r="C1941" s="1"/>
      <c r="D1941" s="17"/>
    </row>
    <row x14ac:dyDescent="0.25" r="1942" customHeight="1" ht="18.75">
      <c r="A1942" s="1"/>
      <c r="B1942" s="3"/>
      <c r="C1942" s="1"/>
      <c r="D1942" s="17"/>
    </row>
    <row x14ac:dyDescent="0.25" r="1943" customHeight="1" ht="18.75">
      <c r="A1943" s="1"/>
      <c r="B1943" s="3"/>
      <c r="C1943" s="1"/>
      <c r="D1943" s="17"/>
    </row>
    <row x14ac:dyDescent="0.25" r="1944" customHeight="1" ht="18.75">
      <c r="A1944" s="1"/>
      <c r="B1944" s="3"/>
      <c r="C1944" s="1"/>
      <c r="D1944" s="17"/>
    </row>
    <row x14ac:dyDescent="0.25" r="1945" customHeight="1" ht="18.75">
      <c r="A1945" s="1"/>
      <c r="B1945" s="3"/>
      <c r="C1945" s="1"/>
      <c r="D1945" s="17"/>
    </row>
    <row x14ac:dyDescent="0.25" r="1946" customHeight="1" ht="18.75">
      <c r="A1946" s="1"/>
      <c r="B1946" s="3"/>
      <c r="C1946" s="1"/>
      <c r="D1946" s="17"/>
    </row>
    <row x14ac:dyDescent="0.25" r="1947" customHeight="1" ht="18.75">
      <c r="A1947" s="1"/>
      <c r="B1947" s="3"/>
      <c r="C1947" s="1"/>
      <c r="D1947" s="17"/>
    </row>
    <row x14ac:dyDescent="0.25" r="1948" customHeight="1" ht="18.75">
      <c r="A1948" s="1"/>
      <c r="B1948" s="3"/>
      <c r="C1948" s="1"/>
      <c r="D1948" s="17"/>
    </row>
    <row x14ac:dyDescent="0.25" r="1949" customHeight="1" ht="18.75">
      <c r="A1949" s="1"/>
      <c r="B1949" s="3"/>
      <c r="C1949" s="1"/>
      <c r="D1949" s="17"/>
    </row>
    <row x14ac:dyDescent="0.25" r="1950" customHeight="1" ht="18.75">
      <c r="A1950" s="1"/>
      <c r="B1950" s="3"/>
      <c r="C1950" s="1"/>
      <c r="D1950" s="17"/>
    </row>
    <row x14ac:dyDescent="0.25" r="1951" customHeight="1" ht="18.75">
      <c r="A1951" s="1"/>
      <c r="B1951" s="3"/>
      <c r="C1951" s="1"/>
      <c r="D1951" s="17"/>
    </row>
    <row x14ac:dyDescent="0.25" r="1952" customHeight="1" ht="18.75">
      <c r="A1952" s="1"/>
      <c r="B1952" s="3"/>
      <c r="C1952" s="1"/>
      <c r="D1952" s="17"/>
    </row>
    <row x14ac:dyDescent="0.25" r="1953" customHeight="1" ht="18.75">
      <c r="A1953" s="1"/>
      <c r="B1953" s="3"/>
      <c r="C1953" s="1"/>
      <c r="D1953" s="17"/>
    </row>
    <row x14ac:dyDescent="0.25" r="1954" customHeight="1" ht="18.75">
      <c r="A1954" s="1"/>
      <c r="B1954" s="3"/>
      <c r="C1954" s="1"/>
      <c r="D1954" s="17"/>
    </row>
    <row x14ac:dyDescent="0.25" r="1955" customHeight="1" ht="18.75">
      <c r="A1955" s="1"/>
      <c r="B1955" s="3"/>
      <c r="C1955" s="1"/>
      <c r="D1955" s="17"/>
    </row>
    <row x14ac:dyDescent="0.25" r="1956" customHeight="1" ht="18.75">
      <c r="A1956" s="1"/>
      <c r="B1956" s="3"/>
      <c r="C1956" s="1"/>
      <c r="D1956" s="17"/>
    </row>
    <row x14ac:dyDescent="0.25" r="1957" customHeight="1" ht="18.75">
      <c r="A1957" s="1"/>
      <c r="B1957" s="3"/>
      <c r="C1957" s="1"/>
      <c r="D1957" s="17"/>
    </row>
    <row x14ac:dyDescent="0.25" r="1958" customHeight="1" ht="18.75">
      <c r="A1958" s="1"/>
      <c r="B1958" s="3"/>
      <c r="C1958" s="1"/>
      <c r="D1958" s="17"/>
    </row>
    <row x14ac:dyDescent="0.25" r="1959" customHeight="1" ht="18.75">
      <c r="A1959" s="1"/>
      <c r="B1959" s="3"/>
      <c r="C1959" s="1"/>
      <c r="D1959" s="17"/>
    </row>
    <row x14ac:dyDescent="0.25" r="1960" customHeight="1" ht="18.75">
      <c r="A1960" s="1"/>
      <c r="B1960" s="3"/>
      <c r="C1960" s="1"/>
      <c r="D1960" s="17"/>
    </row>
    <row x14ac:dyDescent="0.25" r="1961" customHeight="1" ht="18.75">
      <c r="A1961" s="1"/>
      <c r="B1961" s="3"/>
      <c r="C1961" s="1"/>
      <c r="D1961" s="17"/>
    </row>
    <row x14ac:dyDescent="0.25" r="1962" customHeight="1" ht="18.75">
      <c r="A1962" s="1"/>
      <c r="B1962" s="3"/>
      <c r="C1962" s="1"/>
      <c r="D1962" s="17"/>
    </row>
    <row x14ac:dyDescent="0.25" r="1963" customHeight="1" ht="18.75">
      <c r="A1963" s="1"/>
      <c r="B1963" s="3"/>
      <c r="C1963" s="1"/>
      <c r="D1963" s="17"/>
    </row>
    <row x14ac:dyDescent="0.25" r="1964" customHeight="1" ht="18.75">
      <c r="A1964" s="1"/>
      <c r="B1964" s="3"/>
      <c r="C1964" s="1"/>
      <c r="D1964" s="17"/>
    </row>
    <row x14ac:dyDescent="0.25" r="1965" customHeight="1" ht="18.75">
      <c r="A1965" s="1"/>
      <c r="B1965" s="3"/>
      <c r="C1965" s="1"/>
      <c r="D1965" s="17"/>
    </row>
    <row x14ac:dyDescent="0.25" r="1966" customHeight="1" ht="18.75">
      <c r="A1966" s="1"/>
      <c r="B1966" s="3"/>
      <c r="C1966" s="1"/>
      <c r="D1966" s="17"/>
    </row>
    <row x14ac:dyDescent="0.25" r="1967" customHeight="1" ht="18.75">
      <c r="A1967" s="1"/>
      <c r="B1967" s="3"/>
      <c r="C1967" s="1"/>
      <c r="D1967" s="17"/>
    </row>
    <row x14ac:dyDescent="0.25" r="1968" customHeight="1" ht="18.75">
      <c r="A1968" s="1"/>
      <c r="B1968" s="3"/>
      <c r="C1968" s="1"/>
      <c r="D1968" s="17"/>
    </row>
    <row x14ac:dyDescent="0.25" r="1969" customHeight="1" ht="18.75">
      <c r="A1969" s="1"/>
      <c r="B1969" s="3"/>
      <c r="C1969" s="1"/>
      <c r="D1969" s="17"/>
    </row>
    <row x14ac:dyDescent="0.25" r="1970" customHeight="1" ht="18.75">
      <c r="A1970" s="1"/>
      <c r="B1970" s="3"/>
      <c r="C1970" s="1"/>
      <c r="D1970" s="17"/>
    </row>
    <row x14ac:dyDescent="0.25" r="1971" customHeight="1" ht="18.75">
      <c r="A1971" s="1"/>
      <c r="B1971" s="3"/>
      <c r="C1971" s="1"/>
      <c r="D1971" s="17"/>
    </row>
    <row x14ac:dyDescent="0.25" r="1972" customHeight="1" ht="18.75">
      <c r="A1972" s="1"/>
      <c r="B1972" s="3"/>
      <c r="C1972" s="1"/>
      <c r="D1972" s="17"/>
    </row>
    <row x14ac:dyDescent="0.25" r="1973" customHeight="1" ht="18.75">
      <c r="A1973" s="1"/>
      <c r="B1973" s="3"/>
      <c r="C1973" s="1"/>
      <c r="D1973" s="17"/>
    </row>
    <row x14ac:dyDescent="0.25" r="1974" customHeight="1" ht="18.75">
      <c r="A1974" s="1"/>
      <c r="B1974" s="3"/>
      <c r="C1974" s="1"/>
      <c r="D1974" s="17"/>
    </row>
    <row x14ac:dyDescent="0.25" r="1975" customHeight="1" ht="18.75">
      <c r="A1975" s="1"/>
      <c r="B1975" s="3"/>
      <c r="C1975" s="1"/>
      <c r="D1975" s="17"/>
    </row>
    <row x14ac:dyDescent="0.25" r="1976" customHeight="1" ht="18.75">
      <c r="A1976" s="1"/>
      <c r="B1976" s="3"/>
      <c r="C1976" s="1"/>
      <c r="D1976" s="17"/>
    </row>
    <row x14ac:dyDescent="0.25" r="1977" customHeight="1" ht="18.75">
      <c r="A1977" s="1"/>
      <c r="B1977" s="3"/>
      <c r="C1977" s="1"/>
      <c r="D1977" s="17"/>
    </row>
    <row x14ac:dyDescent="0.25" r="1978" customHeight="1" ht="18.75">
      <c r="A1978" s="1"/>
      <c r="B1978" s="3"/>
      <c r="C1978" s="1"/>
      <c r="D1978" s="17"/>
    </row>
    <row x14ac:dyDescent="0.25" r="1979" customHeight="1" ht="18.75">
      <c r="A1979" s="1"/>
      <c r="B1979" s="3"/>
      <c r="C1979" s="1"/>
      <c r="D1979" s="17"/>
    </row>
    <row x14ac:dyDescent="0.25" r="1980" customHeight="1" ht="18.75">
      <c r="A1980" s="1"/>
      <c r="B1980" s="3"/>
      <c r="C1980" s="1"/>
      <c r="D1980" s="17"/>
    </row>
    <row x14ac:dyDescent="0.25" r="1981" customHeight="1" ht="18.75">
      <c r="A1981" s="1"/>
      <c r="B1981" s="3"/>
      <c r="C1981" s="1"/>
      <c r="D1981" s="17"/>
    </row>
    <row x14ac:dyDescent="0.25" r="1982" customHeight="1" ht="18.75">
      <c r="A1982" s="1"/>
      <c r="B1982" s="3"/>
      <c r="C1982" s="1"/>
      <c r="D1982" s="17"/>
    </row>
    <row x14ac:dyDescent="0.25" r="1983" customHeight="1" ht="18.75">
      <c r="A1983" s="1"/>
      <c r="B1983" s="3"/>
      <c r="C1983" s="1"/>
      <c r="D1983" s="17"/>
    </row>
    <row x14ac:dyDescent="0.25" r="1984" customHeight="1" ht="18.75">
      <c r="A1984" s="1"/>
      <c r="B1984" s="3"/>
      <c r="C1984" s="1"/>
      <c r="D1984" s="17"/>
    </row>
    <row x14ac:dyDescent="0.25" r="1985" customHeight="1" ht="18.75">
      <c r="A1985" s="1"/>
      <c r="B1985" s="3"/>
      <c r="C1985" s="1"/>
      <c r="D1985" s="17"/>
    </row>
    <row x14ac:dyDescent="0.25" r="1986" customHeight="1" ht="18.75">
      <c r="A1986" s="1"/>
      <c r="B1986" s="3"/>
      <c r="C1986" s="1"/>
      <c r="D1986" s="17"/>
    </row>
    <row x14ac:dyDescent="0.25" r="1987" customHeight="1" ht="18.75">
      <c r="A1987" s="1"/>
      <c r="B1987" s="3"/>
      <c r="C1987" s="1"/>
      <c r="D1987" s="17"/>
    </row>
    <row x14ac:dyDescent="0.25" r="1988" customHeight="1" ht="18.75">
      <c r="A1988" s="1"/>
      <c r="B1988" s="3"/>
      <c r="C1988" s="1"/>
      <c r="D1988" s="17"/>
    </row>
    <row x14ac:dyDescent="0.25" r="1989" customHeight="1" ht="18.75">
      <c r="A1989" s="1"/>
      <c r="B1989" s="3"/>
      <c r="C1989" s="1"/>
      <c r="D1989" s="17"/>
    </row>
    <row x14ac:dyDescent="0.25" r="1990" customHeight="1" ht="18.75">
      <c r="A1990" s="1"/>
      <c r="B1990" s="3"/>
      <c r="C1990" s="1"/>
      <c r="D1990" s="17"/>
    </row>
    <row x14ac:dyDescent="0.25" r="1991" customHeight="1" ht="18.75">
      <c r="A1991" s="1"/>
      <c r="B1991" s="3"/>
      <c r="C1991" s="1"/>
      <c r="D1991" s="17"/>
    </row>
    <row x14ac:dyDescent="0.25" r="1992" customHeight="1" ht="18.75">
      <c r="A1992" s="1"/>
      <c r="B1992" s="3"/>
      <c r="C1992" s="1"/>
      <c r="D1992" s="17"/>
    </row>
    <row x14ac:dyDescent="0.25" r="1993" customHeight="1" ht="18.75">
      <c r="A1993" s="1"/>
      <c r="B1993" s="3"/>
      <c r="C1993" s="1"/>
      <c r="D1993" s="17"/>
    </row>
    <row x14ac:dyDescent="0.25" r="1994" customHeight="1" ht="18.75">
      <c r="A1994" s="1"/>
      <c r="B1994" s="3"/>
      <c r="C1994" s="1"/>
      <c r="D1994" s="17"/>
    </row>
    <row x14ac:dyDescent="0.25" r="1995" customHeight="1" ht="18.75">
      <c r="A1995" s="1"/>
      <c r="B1995" s="3"/>
      <c r="C1995" s="1"/>
      <c r="D1995" s="17"/>
    </row>
    <row x14ac:dyDescent="0.25" r="1996" customHeight="1" ht="18.75">
      <c r="A1996" s="1"/>
      <c r="B1996" s="3"/>
      <c r="C1996" s="1"/>
      <c r="D1996" s="17"/>
    </row>
    <row x14ac:dyDescent="0.25" r="1997" customHeight="1" ht="18.75">
      <c r="A1997" s="1"/>
      <c r="B1997" s="3"/>
      <c r="C1997" s="1"/>
      <c r="D1997" s="17"/>
    </row>
    <row x14ac:dyDescent="0.25" r="1998" customHeight="1" ht="18.75">
      <c r="A1998" s="1"/>
      <c r="B1998" s="3"/>
      <c r="C1998" s="1"/>
      <c r="D1998" s="17"/>
    </row>
    <row x14ac:dyDescent="0.25" r="1999" customHeight="1" ht="18.75">
      <c r="A1999" s="1"/>
      <c r="B1999" s="3"/>
      <c r="C1999" s="1"/>
      <c r="D1999" s="17"/>
    </row>
    <row x14ac:dyDescent="0.25" r="2000" customHeight="1" ht="18.75">
      <c r="A2000" s="1"/>
      <c r="B2000" s="3"/>
      <c r="C2000" s="1"/>
      <c r="D2000" s="17"/>
    </row>
    <row x14ac:dyDescent="0.25" r="2001" customHeight="1" ht="18.75">
      <c r="A2001" s="1"/>
      <c r="B2001" s="3"/>
      <c r="C2001" s="1"/>
      <c r="D2001" s="17"/>
    </row>
    <row x14ac:dyDescent="0.25" r="2002" customHeight="1" ht="18.75">
      <c r="A2002" s="1"/>
      <c r="B2002" s="3"/>
      <c r="C2002" s="1"/>
      <c r="D2002" s="17"/>
    </row>
    <row x14ac:dyDescent="0.25" r="2003" customHeight="1" ht="18.75">
      <c r="A2003" s="1"/>
      <c r="B2003" s="3"/>
      <c r="C2003" s="1"/>
      <c r="D2003" s="17"/>
    </row>
    <row x14ac:dyDescent="0.25" r="2004" customHeight="1" ht="18.75">
      <c r="A2004" s="1"/>
      <c r="B2004" s="3"/>
      <c r="C2004" s="1"/>
      <c r="D2004" s="17"/>
    </row>
    <row x14ac:dyDescent="0.25" r="2005" customHeight="1" ht="18.75">
      <c r="A2005" s="1"/>
      <c r="B2005" s="3"/>
      <c r="C2005" s="1"/>
      <c r="D2005" s="17"/>
    </row>
    <row x14ac:dyDescent="0.25" r="2006" customHeight="1" ht="18.75">
      <c r="A2006" s="1"/>
      <c r="B2006" s="3"/>
      <c r="C2006" s="1"/>
      <c r="D2006" s="17"/>
    </row>
    <row x14ac:dyDescent="0.25" r="2007" customHeight="1" ht="18.75">
      <c r="A2007" s="1"/>
      <c r="B2007" s="3"/>
      <c r="C2007" s="1"/>
      <c r="D2007" s="17"/>
    </row>
    <row x14ac:dyDescent="0.25" r="2008" customHeight="1" ht="18.75">
      <c r="A2008" s="1"/>
      <c r="B2008" s="3"/>
      <c r="C2008" s="1"/>
      <c r="D2008" s="17"/>
    </row>
    <row x14ac:dyDescent="0.25" r="2009" customHeight="1" ht="18.75">
      <c r="A2009" s="1"/>
      <c r="B2009" s="3"/>
      <c r="C2009" s="1"/>
      <c r="D2009" s="17"/>
    </row>
    <row x14ac:dyDescent="0.25" r="2010" customHeight="1" ht="18.75">
      <c r="A2010" s="1"/>
      <c r="B2010" s="3"/>
      <c r="C2010" s="1"/>
      <c r="D2010" s="17"/>
    </row>
    <row x14ac:dyDescent="0.25" r="2011" customHeight="1" ht="18.75">
      <c r="A2011" s="1"/>
      <c r="B2011" s="3"/>
      <c r="C2011" s="1"/>
      <c r="D2011" s="17"/>
    </row>
    <row x14ac:dyDescent="0.25" r="2012" customHeight="1" ht="18.75">
      <c r="A2012" s="1"/>
      <c r="B2012" s="3"/>
      <c r="C2012" s="1"/>
      <c r="D2012" s="17"/>
    </row>
    <row x14ac:dyDescent="0.25" r="2013" customHeight="1" ht="18.75">
      <c r="A2013" s="1"/>
      <c r="B2013" s="3"/>
      <c r="C2013" s="1"/>
      <c r="D2013" s="17"/>
    </row>
    <row x14ac:dyDescent="0.25" r="2014" customHeight="1" ht="18.75">
      <c r="A2014" s="1"/>
      <c r="B2014" s="3"/>
      <c r="C2014" s="1"/>
      <c r="D2014" s="17"/>
    </row>
    <row x14ac:dyDescent="0.25" r="2015" customHeight="1" ht="18.75">
      <c r="A2015" s="1"/>
      <c r="B2015" s="3"/>
      <c r="C2015" s="1"/>
      <c r="D2015" s="17"/>
    </row>
    <row x14ac:dyDescent="0.25" r="2016" customHeight="1" ht="18.75">
      <c r="A2016" s="1"/>
      <c r="B2016" s="3"/>
      <c r="C2016" s="1"/>
      <c r="D2016" s="17"/>
    </row>
    <row x14ac:dyDescent="0.25" r="2017" customHeight="1" ht="18.75">
      <c r="A2017" s="1"/>
      <c r="B2017" s="3"/>
      <c r="C2017" s="1"/>
      <c r="D2017" s="17"/>
    </row>
    <row x14ac:dyDescent="0.25" r="2018" customHeight="1" ht="18.75">
      <c r="A2018" s="1"/>
      <c r="B2018" s="3"/>
      <c r="C2018" s="1"/>
      <c r="D2018" s="17"/>
    </row>
    <row x14ac:dyDescent="0.25" r="2019" customHeight="1" ht="18.75">
      <c r="A2019" s="1"/>
      <c r="B2019" s="3"/>
      <c r="C2019" s="1"/>
      <c r="D2019" s="17"/>
    </row>
    <row x14ac:dyDescent="0.25" r="2020" customHeight="1" ht="18.75">
      <c r="A2020" s="1"/>
      <c r="B2020" s="3"/>
      <c r="C2020" s="1"/>
      <c r="D2020" s="17"/>
    </row>
    <row x14ac:dyDescent="0.25" r="2021" customHeight="1" ht="18.75">
      <c r="A2021" s="1"/>
      <c r="B2021" s="3"/>
      <c r="C2021" s="1"/>
      <c r="D2021" s="17"/>
    </row>
    <row x14ac:dyDescent="0.25" r="2022" customHeight="1" ht="18.75">
      <c r="A2022" s="1"/>
      <c r="B2022" s="3"/>
      <c r="C2022" s="1"/>
      <c r="D2022" s="17"/>
    </row>
    <row x14ac:dyDescent="0.25" r="2023" customHeight="1" ht="18.75">
      <c r="A2023" s="1"/>
      <c r="B2023" s="3"/>
      <c r="C2023" s="1"/>
      <c r="D2023" s="17"/>
    </row>
    <row x14ac:dyDescent="0.25" r="2024" customHeight="1" ht="18.75">
      <c r="A2024" s="1"/>
      <c r="B2024" s="3"/>
      <c r="C2024" s="1"/>
      <c r="D2024" s="17"/>
    </row>
    <row x14ac:dyDescent="0.25" r="2025" customHeight="1" ht="18.75">
      <c r="A2025" s="1"/>
      <c r="B2025" s="3"/>
      <c r="C2025" s="1"/>
      <c r="D2025" s="17"/>
    </row>
    <row x14ac:dyDescent="0.25" r="2026" customHeight="1" ht="18.75">
      <c r="A2026" s="1"/>
      <c r="B2026" s="3"/>
      <c r="C2026" s="1"/>
      <c r="D2026" s="17"/>
    </row>
    <row x14ac:dyDescent="0.25" r="2027" customHeight="1" ht="18.75">
      <c r="A2027" s="1"/>
      <c r="B2027" s="3"/>
      <c r="C2027" s="1"/>
      <c r="D2027" s="17"/>
    </row>
    <row x14ac:dyDescent="0.25" r="2028" customHeight="1" ht="18.75">
      <c r="A2028" s="1"/>
      <c r="B2028" s="3"/>
      <c r="C2028" s="1"/>
      <c r="D2028" s="17"/>
    </row>
    <row x14ac:dyDescent="0.25" r="2029" customHeight="1" ht="18.75">
      <c r="A2029" s="1"/>
      <c r="B2029" s="3"/>
      <c r="C2029" s="1"/>
      <c r="D2029" s="17"/>
    </row>
    <row x14ac:dyDescent="0.25" r="2030" customHeight="1" ht="18.75">
      <c r="A2030" s="1"/>
      <c r="B2030" s="3"/>
      <c r="C2030" s="1"/>
      <c r="D2030" s="17"/>
    </row>
    <row x14ac:dyDescent="0.25" r="2031" customHeight="1" ht="18.75">
      <c r="A2031" s="1"/>
      <c r="B2031" s="3"/>
      <c r="C2031" s="1"/>
      <c r="D2031" s="17"/>
    </row>
    <row x14ac:dyDescent="0.25" r="2032" customHeight="1" ht="18.75">
      <c r="A2032" s="1"/>
      <c r="B2032" s="3"/>
      <c r="C2032" s="1"/>
      <c r="D2032" s="17"/>
    </row>
    <row x14ac:dyDescent="0.25" r="2033" customHeight="1" ht="18.75">
      <c r="A2033" s="1"/>
      <c r="B2033" s="3"/>
      <c r="C2033" s="1"/>
      <c r="D2033" s="17"/>
    </row>
    <row x14ac:dyDescent="0.25" r="2034" customHeight="1" ht="18.75">
      <c r="A2034" s="1"/>
      <c r="B2034" s="3"/>
      <c r="C2034" s="1"/>
      <c r="D2034" s="17"/>
    </row>
    <row x14ac:dyDescent="0.25" r="2035" customHeight="1" ht="18.75">
      <c r="A2035" s="1"/>
      <c r="B2035" s="3"/>
      <c r="C2035" s="1"/>
      <c r="D2035" s="17"/>
    </row>
    <row x14ac:dyDescent="0.25" r="2036" customHeight="1" ht="18.75">
      <c r="A2036" s="1"/>
      <c r="B2036" s="3"/>
      <c r="C2036" s="1"/>
      <c r="D2036" s="17"/>
    </row>
    <row x14ac:dyDescent="0.25" r="2037" customHeight="1" ht="18.75">
      <c r="A2037" s="1"/>
      <c r="B2037" s="3"/>
      <c r="C2037" s="1"/>
      <c r="D2037" s="17"/>
    </row>
    <row x14ac:dyDescent="0.25" r="2038" customHeight="1" ht="18.75">
      <c r="A2038" s="1"/>
      <c r="B2038" s="3"/>
      <c r="C2038" s="1"/>
      <c r="D2038" s="17"/>
    </row>
    <row x14ac:dyDescent="0.25" r="2039" customHeight="1" ht="18.75">
      <c r="A2039" s="1"/>
      <c r="B2039" s="3"/>
      <c r="C2039" s="1"/>
      <c r="D2039" s="17"/>
    </row>
    <row x14ac:dyDescent="0.25" r="2040" customHeight="1" ht="18.75">
      <c r="A2040" s="1"/>
      <c r="B2040" s="3"/>
      <c r="C2040" s="1"/>
      <c r="D2040" s="17"/>
    </row>
    <row x14ac:dyDescent="0.25" r="2041" customHeight="1" ht="18.75">
      <c r="A2041" s="1"/>
      <c r="B2041" s="3"/>
      <c r="C2041" s="1"/>
      <c r="D2041" s="17"/>
    </row>
    <row x14ac:dyDescent="0.25" r="2042" customHeight="1" ht="18.75">
      <c r="A2042" s="1"/>
      <c r="B2042" s="3"/>
      <c r="C2042" s="1"/>
      <c r="D2042" s="17"/>
    </row>
    <row x14ac:dyDescent="0.25" r="2043" customHeight="1" ht="18.75">
      <c r="A2043" s="1"/>
      <c r="B2043" s="3"/>
      <c r="C2043" s="1"/>
      <c r="D2043" s="17"/>
    </row>
    <row x14ac:dyDescent="0.25" r="2044" customHeight="1" ht="18.75">
      <c r="A2044" s="1"/>
      <c r="B2044" s="3"/>
      <c r="C2044" s="1"/>
      <c r="D2044" s="17"/>
    </row>
    <row x14ac:dyDescent="0.25" r="2045" customHeight="1" ht="18.75">
      <c r="A2045" s="1"/>
      <c r="B2045" s="3"/>
      <c r="C2045" s="1"/>
      <c r="D2045" s="17"/>
    </row>
    <row x14ac:dyDescent="0.25" r="2046" customHeight="1" ht="18.75">
      <c r="A2046" s="1"/>
      <c r="B2046" s="3"/>
      <c r="C2046" s="1"/>
      <c r="D2046" s="17"/>
    </row>
    <row x14ac:dyDescent="0.25" r="2047" customHeight="1" ht="18.75">
      <c r="A2047" s="1"/>
      <c r="B2047" s="3"/>
      <c r="C2047" s="1"/>
      <c r="D2047" s="17"/>
    </row>
    <row x14ac:dyDescent="0.25" r="2048" customHeight="1" ht="18.75">
      <c r="A2048" s="1"/>
      <c r="B2048" s="3"/>
      <c r="C2048" s="1"/>
      <c r="D2048" s="17"/>
    </row>
    <row x14ac:dyDescent="0.25" r="2049" customHeight="1" ht="18.75">
      <c r="A2049" s="1"/>
      <c r="B2049" s="3"/>
      <c r="C2049" s="1"/>
      <c r="D2049" s="17"/>
    </row>
    <row x14ac:dyDescent="0.25" r="2050" customHeight="1" ht="18.75">
      <c r="A2050" s="1"/>
      <c r="B2050" s="3"/>
      <c r="C2050" s="1"/>
      <c r="D2050" s="17"/>
    </row>
    <row x14ac:dyDescent="0.25" r="2051" customHeight="1" ht="18.75">
      <c r="A2051" s="1"/>
      <c r="B2051" s="3"/>
      <c r="C2051" s="1"/>
      <c r="D2051" s="17"/>
    </row>
    <row x14ac:dyDescent="0.25" r="2052" customHeight="1" ht="18.75">
      <c r="A2052" s="1"/>
      <c r="B2052" s="3"/>
      <c r="C2052" s="1"/>
      <c r="D2052" s="17"/>
    </row>
    <row x14ac:dyDescent="0.25" r="2053" customHeight="1" ht="18.75">
      <c r="A2053" s="1"/>
      <c r="B2053" s="3"/>
      <c r="C2053" s="1"/>
      <c r="D2053" s="17"/>
    </row>
    <row x14ac:dyDescent="0.25" r="2054" customHeight="1" ht="18.75">
      <c r="A2054" s="1"/>
      <c r="B2054" s="3"/>
      <c r="C2054" s="1"/>
      <c r="D2054" s="17"/>
    </row>
    <row x14ac:dyDescent="0.25" r="2055" customHeight="1" ht="18.75">
      <c r="A2055" s="1"/>
      <c r="B2055" s="3"/>
      <c r="C2055" s="1"/>
      <c r="D2055" s="17"/>
    </row>
    <row x14ac:dyDescent="0.25" r="2056" customHeight="1" ht="18.75">
      <c r="A2056" s="1"/>
      <c r="B2056" s="3"/>
      <c r="C2056" s="1"/>
      <c r="D2056" s="17"/>
    </row>
    <row x14ac:dyDescent="0.25" r="2057" customHeight="1" ht="18.75">
      <c r="A2057" s="1"/>
      <c r="B2057" s="3"/>
      <c r="C2057" s="1"/>
      <c r="D2057" s="17"/>
    </row>
    <row x14ac:dyDescent="0.25" r="2058" customHeight="1" ht="18.75">
      <c r="A2058" s="1"/>
      <c r="B2058" s="3"/>
      <c r="C2058" s="1"/>
      <c r="D2058" s="17"/>
    </row>
    <row x14ac:dyDescent="0.25" r="2059" customHeight="1" ht="18.75">
      <c r="A2059" s="1"/>
      <c r="B2059" s="3"/>
      <c r="C2059" s="1"/>
      <c r="D2059" s="17"/>
    </row>
    <row x14ac:dyDescent="0.25" r="2060" customHeight="1" ht="18.75">
      <c r="A2060" s="1"/>
      <c r="B2060" s="3"/>
      <c r="C2060" s="1"/>
      <c r="D2060" s="17"/>
    </row>
    <row x14ac:dyDescent="0.25" r="2061" customHeight="1" ht="18.75">
      <c r="A2061" s="1"/>
      <c r="B2061" s="3"/>
      <c r="C2061" s="1"/>
      <c r="D2061" s="17"/>
    </row>
    <row x14ac:dyDescent="0.25" r="2062" customHeight="1" ht="18.75">
      <c r="A2062" s="1"/>
      <c r="B2062" s="3"/>
      <c r="C2062" s="1"/>
      <c r="D2062" s="17"/>
    </row>
    <row x14ac:dyDescent="0.25" r="2063" customHeight="1" ht="18.75">
      <c r="A2063" s="1"/>
      <c r="B2063" s="3"/>
      <c r="C2063" s="1"/>
      <c r="D2063" s="17"/>
    </row>
    <row x14ac:dyDescent="0.25" r="2064" customHeight="1" ht="18.75">
      <c r="A2064" s="1"/>
      <c r="B2064" s="3"/>
      <c r="C2064" s="1"/>
      <c r="D2064" s="17"/>
    </row>
    <row x14ac:dyDescent="0.25" r="2065" customHeight="1" ht="18.75">
      <c r="A2065" s="1"/>
      <c r="B2065" s="3"/>
      <c r="C2065" s="1"/>
      <c r="D2065" s="17"/>
    </row>
    <row x14ac:dyDescent="0.25" r="2066" customHeight="1" ht="18.75">
      <c r="A2066" s="1"/>
      <c r="B2066" s="3"/>
      <c r="C2066" s="1"/>
      <c r="D2066" s="17"/>
    </row>
    <row x14ac:dyDescent="0.25" r="2067" customHeight="1" ht="18.75">
      <c r="A2067" s="1"/>
      <c r="B2067" s="3"/>
      <c r="C2067" s="1"/>
      <c r="D2067" s="17"/>
    </row>
    <row x14ac:dyDescent="0.25" r="2068" customHeight="1" ht="18.75">
      <c r="A2068" s="1"/>
      <c r="B2068" s="3"/>
      <c r="C2068" s="1"/>
      <c r="D2068" s="17"/>
    </row>
    <row x14ac:dyDescent="0.25" r="2069" customHeight="1" ht="18.75">
      <c r="A2069" s="1"/>
      <c r="B2069" s="3"/>
      <c r="C2069" s="1"/>
      <c r="D2069" s="17"/>
    </row>
    <row x14ac:dyDescent="0.25" r="2070" customHeight="1" ht="18.75">
      <c r="A2070" s="1"/>
      <c r="B2070" s="3"/>
      <c r="C2070" s="1"/>
      <c r="D2070" s="17"/>
    </row>
    <row x14ac:dyDescent="0.25" r="2071" customHeight="1" ht="18.75">
      <c r="A2071" s="1"/>
      <c r="B2071" s="3"/>
      <c r="C2071" s="1"/>
      <c r="D2071" s="17"/>
    </row>
    <row x14ac:dyDescent="0.25" r="2072" customHeight="1" ht="18.75">
      <c r="A2072" s="1"/>
      <c r="B2072" s="3"/>
      <c r="C2072" s="1"/>
      <c r="D2072" s="17"/>
    </row>
    <row x14ac:dyDescent="0.25" r="2073" customHeight="1" ht="18.75">
      <c r="A2073" s="1"/>
      <c r="B2073" s="3"/>
      <c r="C2073" s="1"/>
      <c r="D2073" s="17"/>
    </row>
    <row x14ac:dyDescent="0.25" r="2074" customHeight="1" ht="18.75">
      <c r="A2074" s="1"/>
      <c r="B2074" s="3"/>
      <c r="C2074" s="1"/>
      <c r="D2074" s="17"/>
    </row>
    <row x14ac:dyDescent="0.25" r="2075" customHeight="1" ht="18.75">
      <c r="A2075" s="1"/>
      <c r="B2075" s="3"/>
      <c r="C2075" s="1"/>
      <c r="D2075" s="17"/>
    </row>
    <row x14ac:dyDescent="0.25" r="2076" customHeight="1" ht="18.75">
      <c r="A2076" s="1"/>
      <c r="B2076" s="3"/>
      <c r="C2076" s="1"/>
      <c r="D2076" s="17"/>
    </row>
    <row x14ac:dyDescent="0.25" r="2077" customHeight="1" ht="18.75">
      <c r="A2077" s="1"/>
      <c r="B2077" s="3"/>
      <c r="C2077" s="1"/>
      <c r="D2077" s="17"/>
    </row>
    <row x14ac:dyDescent="0.25" r="2078" customHeight="1" ht="18.75">
      <c r="A2078" s="1"/>
      <c r="B2078" s="3"/>
      <c r="C2078" s="1"/>
      <c r="D2078" s="17"/>
    </row>
    <row x14ac:dyDescent="0.25" r="2079" customHeight="1" ht="18.75">
      <c r="A2079" s="1"/>
      <c r="B2079" s="3"/>
      <c r="C2079" s="1"/>
      <c r="D2079" s="17"/>
    </row>
    <row x14ac:dyDescent="0.25" r="2080" customHeight="1" ht="18.75">
      <c r="A2080" s="1"/>
      <c r="B2080" s="3"/>
      <c r="C2080" s="1"/>
      <c r="D2080" s="17"/>
    </row>
    <row x14ac:dyDescent="0.25" r="2081" customHeight="1" ht="18.75">
      <c r="A2081" s="1"/>
      <c r="B2081" s="3"/>
      <c r="C2081" s="1"/>
      <c r="D2081" s="17"/>
    </row>
    <row x14ac:dyDescent="0.25" r="2082" customHeight="1" ht="18.75">
      <c r="A2082" s="1"/>
      <c r="B2082" s="3"/>
      <c r="C2082" s="1"/>
      <c r="D2082" s="17"/>
    </row>
    <row x14ac:dyDescent="0.25" r="2083" customHeight="1" ht="18.75">
      <c r="A2083" s="1"/>
      <c r="B2083" s="3"/>
      <c r="C2083" s="1"/>
      <c r="D2083" s="17"/>
    </row>
    <row x14ac:dyDescent="0.25" r="2084" customHeight="1" ht="18.75">
      <c r="A2084" s="1"/>
      <c r="B2084" s="3"/>
      <c r="C2084" s="1"/>
      <c r="D2084" s="17"/>
    </row>
    <row x14ac:dyDescent="0.25" r="2085" customHeight="1" ht="18.75">
      <c r="A2085" s="1"/>
      <c r="B2085" s="3"/>
      <c r="C2085" s="1"/>
      <c r="D2085" s="17"/>
    </row>
    <row x14ac:dyDescent="0.25" r="2086" customHeight="1" ht="18.75">
      <c r="A2086" s="1"/>
      <c r="B2086" s="3"/>
      <c r="C2086" s="1"/>
      <c r="D2086" s="17"/>
    </row>
    <row x14ac:dyDescent="0.25" r="2087" customHeight="1" ht="18.75">
      <c r="A2087" s="1"/>
      <c r="B2087" s="3"/>
      <c r="C2087" s="1"/>
      <c r="D2087" s="17"/>
    </row>
    <row x14ac:dyDescent="0.25" r="2088" customHeight="1" ht="18.75">
      <c r="A2088" s="1"/>
      <c r="B2088" s="3"/>
      <c r="C2088" s="1"/>
      <c r="D2088" s="17"/>
    </row>
    <row x14ac:dyDescent="0.25" r="2089" customHeight="1" ht="18.75">
      <c r="A2089" s="1"/>
      <c r="B2089" s="3"/>
      <c r="C2089" s="1"/>
      <c r="D2089" s="17"/>
    </row>
    <row x14ac:dyDescent="0.25" r="2090" customHeight="1" ht="18.75">
      <c r="A2090" s="1"/>
      <c r="B2090" s="3"/>
      <c r="C2090" s="1"/>
      <c r="D2090" s="17"/>
    </row>
    <row x14ac:dyDescent="0.25" r="2091" customHeight="1" ht="18.75">
      <c r="A2091" s="1"/>
      <c r="B2091" s="3"/>
      <c r="C2091" s="1"/>
      <c r="D2091" s="17"/>
    </row>
    <row x14ac:dyDescent="0.25" r="2092" customHeight="1" ht="18.75">
      <c r="A2092" s="1"/>
      <c r="B2092" s="3"/>
      <c r="C2092" s="1"/>
      <c r="D2092" s="17"/>
    </row>
    <row x14ac:dyDescent="0.25" r="2093" customHeight="1" ht="18.75">
      <c r="A2093" s="1"/>
      <c r="B2093" s="3"/>
      <c r="C2093" s="1"/>
      <c r="D2093" s="17"/>
    </row>
    <row x14ac:dyDescent="0.25" r="2094" customHeight="1" ht="18.75">
      <c r="A2094" s="1"/>
      <c r="B2094" s="3"/>
      <c r="C2094" s="1"/>
      <c r="D2094" s="17"/>
    </row>
    <row x14ac:dyDescent="0.25" r="2095" customHeight="1" ht="18.75">
      <c r="A2095" s="1"/>
      <c r="B2095" s="3"/>
      <c r="C2095" s="1"/>
      <c r="D2095" s="17"/>
    </row>
    <row x14ac:dyDescent="0.25" r="2096" customHeight="1" ht="18.75">
      <c r="A2096" s="1"/>
      <c r="B2096" s="3"/>
      <c r="C2096" s="1"/>
      <c r="D2096" s="17"/>
    </row>
    <row x14ac:dyDescent="0.25" r="2097" customHeight="1" ht="18.75">
      <c r="A2097" s="1"/>
      <c r="B2097" s="3"/>
      <c r="C2097" s="1"/>
      <c r="D2097" s="17"/>
    </row>
    <row x14ac:dyDescent="0.25" r="2098" customHeight="1" ht="18.75">
      <c r="A2098" s="1"/>
      <c r="B2098" s="3"/>
      <c r="C2098" s="1"/>
      <c r="D2098" s="17"/>
    </row>
    <row x14ac:dyDescent="0.25" r="2099" customHeight="1" ht="18.75">
      <c r="A2099" s="1"/>
      <c r="B2099" s="3"/>
      <c r="C2099" s="1"/>
      <c r="D2099" s="17"/>
    </row>
    <row x14ac:dyDescent="0.25" r="2100" customHeight="1" ht="18.75">
      <c r="A2100" s="1"/>
      <c r="B2100" s="3"/>
      <c r="C2100" s="1"/>
      <c r="D2100" s="17"/>
    </row>
    <row x14ac:dyDescent="0.25" r="2101" customHeight="1" ht="18.75">
      <c r="A2101" s="1"/>
      <c r="B2101" s="3"/>
      <c r="C2101" s="1"/>
      <c r="D2101" s="17"/>
    </row>
    <row x14ac:dyDescent="0.25" r="2102" customHeight="1" ht="18.75">
      <c r="A2102" s="1"/>
      <c r="B2102" s="3"/>
      <c r="C2102" s="1"/>
      <c r="D2102" s="17"/>
    </row>
    <row x14ac:dyDescent="0.25" r="2103" customHeight="1" ht="18.75">
      <c r="A2103" s="1"/>
      <c r="B2103" s="3"/>
      <c r="C2103" s="1"/>
      <c r="D2103" s="17"/>
    </row>
    <row x14ac:dyDescent="0.25" r="2104" customHeight="1" ht="18.75">
      <c r="A2104" s="1"/>
      <c r="B2104" s="3"/>
      <c r="C2104" s="1"/>
      <c r="D2104" s="17"/>
    </row>
    <row x14ac:dyDescent="0.25" r="2105" customHeight="1" ht="18.75">
      <c r="A2105" s="1"/>
      <c r="B2105" s="3"/>
      <c r="C2105" s="1"/>
      <c r="D2105" s="17"/>
    </row>
    <row x14ac:dyDescent="0.25" r="2106" customHeight="1" ht="18.75">
      <c r="A2106" s="1"/>
      <c r="B2106" s="3"/>
      <c r="C2106" s="1"/>
      <c r="D2106" s="17"/>
    </row>
    <row x14ac:dyDescent="0.25" r="2107" customHeight="1" ht="18.75">
      <c r="A2107" s="1"/>
      <c r="B2107" s="3"/>
      <c r="C2107" s="1"/>
      <c r="D2107" s="17"/>
    </row>
    <row x14ac:dyDescent="0.25" r="2108" customHeight="1" ht="18.75">
      <c r="A2108" s="1"/>
      <c r="B2108" s="3"/>
      <c r="C2108" s="1"/>
      <c r="D2108" s="17"/>
    </row>
    <row x14ac:dyDescent="0.25" r="2109" customHeight="1" ht="18.75">
      <c r="A2109" s="1"/>
      <c r="B2109" s="3"/>
      <c r="C2109" s="1"/>
      <c r="D2109" s="17"/>
    </row>
    <row x14ac:dyDescent="0.25" r="2110" customHeight="1" ht="18.75">
      <c r="A2110" s="1"/>
      <c r="B2110" s="3"/>
      <c r="C2110" s="1"/>
      <c r="D2110" s="17"/>
    </row>
    <row x14ac:dyDescent="0.25" r="2111" customHeight="1" ht="18.75">
      <c r="A2111" s="1"/>
      <c r="B2111" s="3"/>
      <c r="C2111" s="1"/>
      <c r="D2111" s="17"/>
    </row>
    <row x14ac:dyDescent="0.25" r="2112" customHeight="1" ht="18.75">
      <c r="A2112" s="1"/>
      <c r="B2112" s="3"/>
      <c r="C2112" s="1"/>
      <c r="D2112" s="17"/>
    </row>
    <row x14ac:dyDescent="0.25" r="2113" customHeight="1" ht="18.75">
      <c r="A2113" s="1"/>
      <c r="B2113" s="3"/>
      <c r="C2113" s="1"/>
      <c r="D2113" s="17"/>
    </row>
    <row x14ac:dyDescent="0.25" r="2114" customHeight="1" ht="18.75">
      <c r="A2114" s="1"/>
      <c r="B2114" s="3"/>
      <c r="C2114" s="1"/>
      <c r="D2114" s="17"/>
    </row>
    <row x14ac:dyDescent="0.25" r="2115" customHeight="1" ht="18.75">
      <c r="A2115" s="1"/>
      <c r="B2115" s="3"/>
      <c r="C2115" s="1"/>
      <c r="D2115" s="17"/>
    </row>
    <row x14ac:dyDescent="0.25" r="2116" customHeight="1" ht="18.75">
      <c r="A2116" s="1"/>
      <c r="B2116" s="3"/>
      <c r="C2116" s="1"/>
      <c r="D2116" s="17"/>
    </row>
    <row x14ac:dyDescent="0.25" r="2117" customHeight="1" ht="18.75">
      <c r="A2117" s="1"/>
      <c r="B2117" s="3"/>
      <c r="C2117" s="1"/>
      <c r="D2117" s="17"/>
    </row>
    <row x14ac:dyDescent="0.25" r="2118" customHeight="1" ht="18.75">
      <c r="A2118" s="1"/>
      <c r="B2118" s="3"/>
      <c r="C2118" s="1"/>
      <c r="D2118" s="17"/>
    </row>
    <row x14ac:dyDescent="0.25" r="2119" customHeight="1" ht="18.75">
      <c r="A2119" s="1"/>
      <c r="B2119" s="3"/>
      <c r="C2119" s="1"/>
      <c r="D2119" s="17"/>
    </row>
    <row x14ac:dyDescent="0.25" r="2120" customHeight="1" ht="18.75">
      <c r="A2120" s="1"/>
      <c r="B2120" s="3"/>
      <c r="C2120" s="1"/>
      <c r="D2120" s="17"/>
    </row>
    <row x14ac:dyDescent="0.25" r="2121" customHeight="1" ht="18.75">
      <c r="A2121" s="1"/>
      <c r="B2121" s="3"/>
      <c r="C2121" s="1"/>
      <c r="D2121" s="17"/>
    </row>
    <row x14ac:dyDescent="0.25" r="2122" customHeight="1" ht="18.75">
      <c r="A2122" s="1"/>
      <c r="B2122" s="3"/>
      <c r="C2122" s="1"/>
      <c r="D2122" s="17"/>
    </row>
    <row x14ac:dyDescent="0.25" r="2123" customHeight="1" ht="18.75">
      <c r="A2123" s="1"/>
      <c r="B2123" s="3"/>
      <c r="C2123" s="1"/>
      <c r="D2123" s="17"/>
    </row>
    <row x14ac:dyDescent="0.25" r="2124" customHeight="1" ht="18.75">
      <c r="A2124" s="1"/>
      <c r="B2124" s="3"/>
      <c r="C2124" s="1"/>
      <c r="D2124" s="17"/>
    </row>
    <row x14ac:dyDescent="0.25" r="2125" customHeight="1" ht="18.75">
      <c r="A2125" s="1"/>
      <c r="B2125" s="3"/>
      <c r="C2125" s="1"/>
      <c r="D2125" s="17"/>
    </row>
    <row x14ac:dyDescent="0.25" r="2126" customHeight="1" ht="18.75">
      <c r="A2126" s="1"/>
      <c r="B2126" s="3"/>
      <c r="C2126" s="1"/>
      <c r="D2126" s="17"/>
    </row>
    <row x14ac:dyDescent="0.25" r="2127" customHeight="1" ht="18.75">
      <c r="A2127" s="1"/>
      <c r="B2127" s="3"/>
      <c r="C2127" s="1"/>
      <c r="D2127" s="17"/>
    </row>
    <row x14ac:dyDescent="0.25" r="2128" customHeight="1" ht="18.75">
      <c r="A2128" s="1"/>
      <c r="B2128" s="3"/>
      <c r="C2128" s="1"/>
      <c r="D2128" s="17"/>
    </row>
    <row x14ac:dyDescent="0.25" r="2129" customHeight="1" ht="18.75">
      <c r="A2129" s="1"/>
      <c r="B2129" s="3"/>
      <c r="C2129" s="1"/>
      <c r="D2129" s="17"/>
    </row>
    <row x14ac:dyDescent="0.25" r="2130" customHeight="1" ht="18.75">
      <c r="A2130" s="1"/>
      <c r="B2130" s="3"/>
      <c r="C2130" s="1"/>
      <c r="D2130" s="17"/>
    </row>
    <row x14ac:dyDescent="0.25" r="2131" customHeight="1" ht="18.75">
      <c r="A2131" s="1"/>
      <c r="B2131" s="3"/>
      <c r="C2131" s="1"/>
      <c r="D2131" s="17"/>
    </row>
    <row x14ac:dyDescent="0.25" r="2132" customHeight="1" ht="18.75">
      <c r="A2132" s="1"/>
      <c r="B2132" s="3"/>
      <c r="C2132" s="1"/>
      <c r="D2132" s="17"/>
    </row>
    <row x14ac:dyDescent="0.25" r="2133" customHeight="1" ht="18.75">
      <c r="A2133" s="1"/>
      <c r="B2133" s="3"/>
      <c r="C2133" s="1"/>
      <c r="D2133" s="17"/>
    </row>
    <row x14ac:dyDescent="0.25" r="2134" customHeight="1" ht="18.75">
      <c r="A2134" s="1"/>
      <c r="B2134" s="3"/>
      <c r="C2134" s="1"/>
      <c r="D2134" s="17"/>
    </row>
    <row x14ac:dyDescent="0.25" r="2135" customHeight="1" ht="18.75">
      <c r="A2135" s="1"/>
      <c r="B2135" s="3"/>
      <c r="C2135" s="1"/>
      <c r="D2135" s="17"/>
    </row>
    <row x14ac:dyDescent="0.25" r="2136" customHeight="1" ht="18.75">
      <c r="A2136" s="1"/>
      <c r="B2136" s="3"/>
      <c r="C2136" s="1"/>
      <c r="D2136" s="17"/>
    </row>
    <row x14ac:dyDescent="0.25" r="2137" customHeight="1" ht="18.75">
      <c r="A2137" s="1"/>
      <c r="B2137" s="3"/>
      <c r="C2137" s="1"/>
      <c r="D2137" s="17"/>
    </row>
    <row x14ac:dyDescent="0.25" r="2138" customHeight="1" ht="18.75">
      <c r="A2138" s="1"/>
      <c r="B2138" s="3"/>
      <c r="C2138" s="1"/>
      <c r="D2138" s="17"/>
    </row>
    <row x14ac:dyDescent="0.25" r="2139" customHeight="1" ht="18.75">
      <c r="A2139" s="1"/>
      <c r="B2139" s="3"/>
      <c r="C2139" s="1"/>
      <c r="D2139" s="17"/>
    </row>
    <row x14ac:dyDescent="0.25" r="2140" customHeight="1" ht="18.75">
      <c r="A2140" s="1"/>
      <c r="B2140" s="3"/>
      <c r="C2140" s="1"/>
      <c r="D2140" s="17"/>
    </row>
    <row x14ac:dyDescent="0.25" r="2141" customHeight="1" ht="18.75">
      <c r="A2141" s="1"/>
      <c r="B2141" s="3"/>
      <c r="C2141" s="1"/>
      <c r="D2141" s="17"/>
    </row>
    <row x14ac:dyDescent="0.25" r="2142" customHeight="1" ht="18.75">
      <c r="A2142" s="1"/>
      <c r="B2142" s="3"/>
      <c r="C2142" s="1"/>
      <c r="D2142" s="17"/>
    </row>
    <row x14ac:dyDescent="0.25" r="2143" customHeight="1" ht="18.75">
      <c r="A2143" s="1"/>
      <c r="B2143" s="3"/>
      <c r="C2143" s="1"/>
      <c r="D2143" s="17"/>
    </row>
    <row x14ac:dyDescent="0.25" r="2144" customHeight="1" ht="18.75">
      <c r="A2144" s="1"/>
      <c r="B2144" s="3"/>
      <c r="C2144" s="1"/>
      <c r="D2144" s="17"/>
    </row>
    <row x14ac:dyDescent="0.25" r="2145" customHeight="1" ht="18.75">
      <c r="A2145" s="1"/>
      <c r="B2145" s="3"/>
      <c r="C2145" s="1"/>
      <c r="D2145" s="17"/>
    </row>
    <row x14ac:dyDescent="0.25" r="2146" customHeight="1" ht="18.75">
      <c r="A2146" s="1"/>
      <c r="B2146" s="3"/>
      <c r="C2146" s="1"/>
      <c r="D2146" s="17"/>
    </row>
    <row x14ac:dyDescent="0.25" r="2147" customHeight="1" ht="18.75">
      <c r="A2147" s="1"/>
      <c r="B2147" s="3"/>
      <c r="C2147" s="1"/>
      <c r="D2147" s="17"/>
    </row>
    <row x14ac:dyDescent="0.25" r="2148" customHeight="1" ht="18.75">
      <c r="A2148" s="1"/>
      <c r="B2148" s="3"/>
      <c r="C2148" s="1"/>
      <c r="D2148" s="17"/>
    </row>
    <row x14ac:dyDescent="0.25" r="2149" customHeight="1" ht="18.75">
      <c r="A2149" s="1"/>
      <c r="B2149" s="3"/>
      <c r="C2149" s="1"/>
      <c r="D2149" s="17"/>
    </row>
    <row x14ac:dyDescent="0.25" r="2150" customHeight="1" ht="18.75">
      <c r="A2150" s="1"/>
      <c r="B2150" s="3"/>
      <c r="C2150" s="1"/>
      <c r="D2150" s="17"/>
    </row>
    <row x14ac:dyDescent="0.25" r="2151" customHeight="1" ht="18.75">
      <c r="A2151" s="1"/>
      <c r="B2151" s="3"/>
      <c r="C2151" s="1"/>
      <c r="D2151" s="17"/>
    </row>
    <row x14ac:dyDescent="0.25" r="2152" customHeight="1" ht="18.75">
      <c r="A2152" s="1"/>
      <c r="B2152" s="3"/>
      <c r="C2152" s="1"/>
      <c r="D2152" s="17"/>
    </row>
    <row x14ac:dyDescent="0.25" r="2153" customHeight="1" ht="18.75">
      <c r="A2153" s="1"/>
      <c r="B2153" s="3"/>
      <c r="C2153" s="1"/>
      <c r="D2153" s="17"/>
    </row>
    <row x14ac:dyDescent="0.25" r="2154" customHeight="1" ht="18.75">
      <c r="A2154" s="1"/>
      <c r="B2154" s="3"/>
      <c r="C2154" s="1"/>
      <c r="D2154" s="17"/>
    </row>
    <row x14ac:dyDescent="0.25" r="2155" customHeight="1" ht="18.75">
      <c r="A2155" s="1"/>
      <c r="B2155" s="3"/>
      <c r="C2155" s="1"/>
      <c r="D2155" s="17"/>
    </row>
    <row x14ac:dyDescent="0.25" r="2156" customHeight="1" ht="18.75">
      <c r="A2156" s="1"/>
      <c r="B2156" s="3"/>
      <c r="C2156" s="1"/>
      <c r="D2156" s="17"/>
    </row>
    <row x14ac:dyDescent="0.25" r="2157" customHeight="1" ht="18.75">
      <c r="A2157" s="1"/>
      <c r="B2157" s="3"/>
      <c r="C2157" s="1"/>
      <c r="D2157" s="17"/>
    </row>
    <row x14ac:dyDescent="0.25" r="2158" customHeight="1" ht="18.75">
      <c r="A2158" s="1"/>
      <c r="B2158" s="3"/>
      <c r="C2158" s="1"/>
      <c r="D2158" s="17"/>
    </row>
    <row x14ac:dyDescent="0.25" r="2159" customHeight="1" ht="18.75">
      <c r="A2159" s="1"/>
      <c r="B2159" s="3"/>
      <c r="C2159" s="1"/>
      <c r="D2159" s="17"/>
    </row>
    <row x14ac:dyDescent="0.25" r="2160" customHeight="1" ht="18.75">
      <c r="A2160" s="1"/>
      <c r="B2160" s="3"/>
      <c r="C2160" s="1"/>
      <c r="D2160" s="17"/>
    </row>
    <row x14ac:dyDescent="0.25" r="2161" customHeight="1" ht="18.75">
      <c r="A2161" s="1"/>
      <c r="B2161" s="3"/>
      <c r="C2161" s="1"/>
      <c r="D2161" s="17"/>
    </row>
    <row x14ac:dyDescent="0.25" r="2162" customHeight="1" ht="18.75">
      <c r="A2162" s="1"/>
      <c r="B2162" s="3"/>
      <c r="C2162" s="1"/>
      <c r="D2162" s="17"/>
    </row>
    <row x14ac:dyDescent="0.25" r="2163" customHeight="1" ht="18.75">
      <c r="A2163" s="1"/>
      <c r="B2163" s="3"/>
      <c r="C2163" s="1"/>
      <c r="D2163" s="17"/>
    </row>
    <row x14ac:dyDescent="0.25" r="2164" customHeight="1" ht="18.75">
      <c r="A2164" s="1"/>
      <c r="B2164" s="3"/>
      <c r="C2164" s="1"/>
      <c r="D2164" s="17"/>
    </row>
    <row x14ac:dyDescent="0.25" r="2165" customHeight="1" ht="18.75">
      <c r="A2165" s="1"/>
      <c r="B2165" s="3"/>
      <c r="C2165" s="1"/>
      <c r="D2165" s="17"/>
    </row>
    <row x14ac:dyDescent="0.25" r="2166" customHeight="1" ht="18.75">
      <c r="A2166" s="1"/>
      <c r="B2166" s="3"/>
      <c r="C2166" s="1"/>
      <c r="D2166" s="17"/>
    </row>
    <row x14ac:dyDescent="0.25" r="2167" customHeight="1" ht="18.75">
      <c r="A2167" s="1"/>
      <c r="B2167" s="3"/>
      <c r="C2167" s="1"/>
      <c r="D2167" s="17"/>
    </row>
    <row x14ac:dyDescent="0.25" r="2168" customHeight="1" ht="18.75">
      <c r="A2168" s="1"/>
      <c r="B2168" s="3"/>
      <c r="C2168" s="1"/>
      <c r="D2168" s="17"/>
    </row>
    <row x14ac:dyDescent="0.25" r="2169" customHeight="1" ht="18.75">
      <c r="A2169" s="1"/>
      <c r="B2169" s="3"/>
      <c r="C2169" s="1"/>
      <c r="D2169" s="17"/>
    </row>
    <row x14ac:dyDescent="0.25" r="2170" customHeight="1" ht="18.75">
      <c r="A2170" s="1"/>
      <c r="B2170" s="3"/>
      <c r="C2170" s="1"/>
      <c r="D2170" s="17"/>
    </row>
    <row x14ac:dyDescent="0.25" r="2171" customHeight="1" ht="18.75">
      <c r="A2171" s="1"/>
      <c r="B2171" s="3"/>
      <c r="C2171" s="1"/>
      <c r="D2171" s="17"/>
    </row>
    <row x14ac:dyDescent="0.25" r="2172" customHeight="1" ht="18.75">
      <c r="A2172" s="1"/>
      <c r="B2172" s="3"/>
      <c r="C2172" s="1"/>
      <c r="D2172" s="17"/>
    </row>
    <row x14ac:dyDescent="0.25" r="2173" customHeight="1" ht="18.75">
      <c r="A2173" s="1"/>
      <c r="B2173" s="3"/>
      <c r="C2173" s="1"/>
      <c r="D2173" s="17"/>
    </row>
    <row x14ac:dyDescent="0.25" r="2174" customHeight="1" ht="18.75">
      <c r="A2174" s="1"/>
      <c r="B2174" s="3"/>
      <c r="C2174" s="1"/>
      <c r="D2174" s="17"/>
    </row>
    <row x14ac:dyDescent="0.25" r="2175" customHeight="1" ht="18.75">
      <c r="A2175" s="1"/>
      <c r="B2175" s="3"/>
      <c r="C2175" s="1"/>
      <c r="D2175" s="17"/>
    </row>
    <row x14ac:dyDescent="0.25" r="2176" customHeight="1" ht="18.75">
      <c r="A2176" s="1"/>
      <c r="B2176" s="3"/>
      <c r="C2176" s="1"/>
      <c r="D2176" s="17"/>
    </row>
    <row x14ac:dyDescent="0.25" r="2177" customHeight="1" ht="18.75">
      <c r="A2177" s="1"/>
      <c r="B2177" s="3"/>
      <c r="C2177" s="1"/>
      <c r="D2177" s="17"/>
    </row>
    <row x14ac:dyDescent="0.25" r="2178" customHeight="1" ht="18.75">
      <c r="A2178" s="1"/>
      <c r="B2178" s="3"/>
      <c r="C2178" s="1"/>
      <c r="D2178" s="17"/>
    </row>
    <row x14ac:dyDescent="0.25" r="2179" customHeight="1" ht="18.75">
      <c r="A2179" s="1"/>
      <c r="B2179" s="3"/>
      <c r="C2179" s="1"/>
      <c r="D2179" s="17"/>
    </row>
    <row x14ac:dyDescent="0.25" r="2180" customHeight="1" ht="18.75">
      <c r="A2180" s="1"/>
      <c r="B2180" s="3"/>
      <c r="C2180" s="1"/>
      <c r="D2180" s="17"/>
    </row>
    <row x14ac:dyDescent="0.25" r="2181" customHeight="1" ht="18.75">
      <c r="A2181" s="1"/>
      <c r="B2181" s="3"/>
      <c r="C2181" s="1"/>
      <c r="D2181" s="17"/>
    </row>
    <row x14ac:dyDescent="0.25" r="2182" customHeight="1" ht="18.75">
      <c r="A2182" s="1"/>
      <c r="B2182" s="3"/>
      <c r="C2182" s="1"/>
      <c r="D2182" s="17"/>
    </row>
    <row x14ac:dyDescent="0.25" r="2183" customHeight="1" ht="18.75">
      <c r="A2183" s="1"/>
      <c r="B2183" s="3"/>
      <c r="C2183" s="1"/>
      <c r="D2183" s="17"/>
    </row>
    <row x14ac:dyDescent="0.25" r="2184" customHeight="1" ht="18.75">
      <c r="A2184" s="1"/>
      <c r="B2184" s="3"/>
      <c r="C2184" s="1"/>
      <c r="D2184" s="17"/>
    </row>
    <row x14ac:dyDescent="0.25" r="2185" customHeight="1" ht="18.75">
      <c r="A2185" s="1"/>
      <c r="B2185" s="3"/>
      <c r="C2185" s="1"/>
      <c r="D2185" s="17"/>
    </row>
    <row x14ac:dyDescent="0.25" r="2186" customHeight="1" ht="18.75">
      <c r="A2186" s="1"/>
      <c r="B2186" s="3"/>
      <c r="C2186" s="1"/>
      <c r="D2186" s="17"/>
    </row>
    <row x14ac:dyDescent="0.25" r="2187" customHeight="1" ht="18.75">
      <c r="A2187" s="1"/>
      <c r="B2187" s="3"/>
      <c r="C2187" s="1"/>
      <c r="D2187" s="17"/>
    </row>
    <row x14ac:dyDescent="0.25" r="2188" customHeight="1" ht="18.75">
      <c r="A2188" s="1"/>
      <c r="B2188" s="3"/>
      <c r="C2188" s="33"/>
      <c r="D2188" s="17"/>
    </row>
    <row x14ac:dyDescent="0.25" r="2189" customHeight="1" ht="18.75">
      <c r="A2189" s="1"/>
      <c r="B2189" s="3"/>
      <c r="C2189" s="33"/>
      <c r="D2189" s="17"/>
    </row>
    <row x14ac:dyDescent="0.25" r="2190" customHeight="1" ht="18.75">
      <c r="A2190" s="1"/>
      <c r="B2190" s="3"/>
      <c r="C2190" s="33"/>
      <c r="D2190" s="17"/>
    </row>
    <row x14ac:dyDescent="0.25" r="2191" customHeight="1" ht="18.75">
      <c r="A2191" s="1"/>
      <c r="B2191" s="3"/>
      <c r="C2191" s="33"/>
      <c r="D2191" s="17"/>
    </row>
    <row x14ac:dyDescent="0.25" r="2192" customHeight="1" ht="18.75">
      <c r="A2192" s="1"/>
      <c r="B2192" s="3"/>
      <c r="C2192" s="33"/>
      <c r="D2192" s="17"/>
    </row>
    <row x14ac:dyDescent="0.25" r="2193" customHeight="1" ht="18.75">
      <c r="A2193" s="1"/>
      <c r="B2193" s="3"/>
      <c r="C2193" s="33"/>
      <c r="D2193" s="17"/>
    </row>
    <row x14ac:dyDescent="0.25" r="2194" customHeight="1" ht="18.75">
      <c r="A2194" s="1"/>
      <c r="B2194" s="3"/>
      <c r="C2194" s="33"/>
      <c r="D2194" s="17"/>
    </row>
    <row x14ac:dyDescent="0.25" r="2195" customHeight="1" ht="18.75">
      <c r="A2195" s="1"/>
      <c r="B2195" s="3"/>
      <c r="C2195" s="33"/>
      <c r="D2195" s="17"/>
    </row>
    <row x14ac:dyDescent="0.25" r="2196" customHeight="1" ht="18.75">
      <c r="A2196" s="1"/>
      <c r="B2196" s="3"/>
      <c r="C2196" s="33"/>
      <c r="D2196" s="17"/>
    </row>
    <row x14ac:dyDescent="0.25" r="2197" customHeight="1" ht="18.75">
      <c r="A2197" s="1"/>
      <c r="B2197" s="3"/>
      <c r="C2197" s="33"/>
      <c r="D2197" s="17"/>
    </row>
    <row x14ac:dyDescent="0.25" r="2198" customHeight="1" ht="18.75">
      <c r="A2198" s="1"/>
      <c r="B2198" s="3"/>
      <c r="C2198" s="33"/>
      <c r="D2198" s="17"/>
    </row>
    <row x14ac:dyDescent="0.25" r="2199" customHeight="1" ht="18.75">
      <c r="A2199" s="1"/>
      <c r="B2199" s="3"/>
      <c r="C2199" s="33"/>
      <c r="D2199" s="17"/>
    </row>
    <row x14ac:dyDescent="0.25" r="2200" customHeight="1" ht="18.75">
      <c r="A2200" s="1"/>
      <c r="B2200" s="3"/>
      <c r="C2200" s="33"/>
      <c r="D2200" s="17"/>
    </row>
    <row x14ac:dyDescent="0.25" r="2201" customHeight="1" ht="18.75">
      <c r="A2201" s="1"/>
      <c r="B2201" s="3"/>
      <c r="C2201" s="33"/>
      <c r="D2201" s="17"/>
    </row>
    <row x14ac:dyDescent="0.25" r="2202" customHeight="1" ht="18.75">
      <c r="A2202" s="1"/>
      <c r="B2202" s="3"/>
      <c r="C2202" s="33"/>
      <c r="D2202" s="17"/>
    </row>
    <row x14ac:dyDescent="0.25" r="2203" customHeight="1" ht="18.75">
      <c r="A2203" s="1"/>
      <c r="B2203" s="3"/>
      <c r="C2203" s="33"/>
      <c r="D2203" s="17"/>
    </row>
    <row x14ac:dyDescent="0.25" r="2204" customHeight="1" ht="18.75">
      <c r="A2204" s="1"/>
      <c r="B2204" s="3"/>
      <c r="C2204" s="33"/>
      <c r="D2204" s="17"/>
    </row>
    <row x14ac:dyDescent="0.25" r="2205" customHeight="1" ht="18.75">
      <c r="A2205" s="1"/>
      <c r="B2205" s="3"/>
      <c r="C2205" s="33"/>
      <c r="D2205" s="17"/>
    </row>
    <row x14ac:dyDescent="0.25" r="2206" customHeight="1" ht="18.75">
      <c r="A2206" s="1"/>
      <c r="B2206" s="3"/>
      <c r="C2206" s="33"/>
      <c r="D2206" s="17"/>
    </row>
    <row x14ac:dyDescent="0.25" r="2207" customHeight="1" ht="18.75">
      <c r="A2207" s="1"/>
      <c r="B2207" s="3"/>
      <c r="C2207" s="33"/>
      <c r="D2207" s="17"/>
    </row>
    <row x14ac:dyDescent="0.25" r="2208" customHeight="1" ht="18.75">
      <c r="A2208" s="1"/>
      <c r="B2208" s="3"/>
      <c r="C2208" s="33"/>
      <c r="D2208" s="17"/>
    </row>
    <row x14ac:dyDescent="0.25" r="2209" customHeight="1" ht="18.75">
      <c r="A2209" s="1"/>
      <c r="B2209" s="3"/>
      <c r="C2209" s="33"/>
      <c r="D2209" s="17"/>
    </row>
    <row x14ac:dyDescent="0.25" r="2210" customHeight="1" ht="18.75">
      <c r="A2210" s="1"/>
      <c r="B2210" s="3"/>
      <c r="C2210" s="33"/>
      <c r="D2210" s="17"/>
    </row>
    <row x14ac:dyDescent="0.25" r="2211" customHeight="1" ht="18.75">
      <c r="A2211" s="1"/>
      <c r="B2211" s="3"/>
      <c r="C2211" s="33"/>
      <c r="D2211" s="17"/>
    </row>
    <row x14ac:dyDescent="0.25" r="2212" customHeight="1" ht="18.75">
      <c r="A2212" s="1"/>
      <c r="B2212" s="3"/>
      <c r="C2212" s="33"/>
      <c r="D2212" s="17"/>
    </row>
    <row x14ac:dyDescent="0.25" r="2213" customHeight="1" ht="18.75">
      <c r="A2213" s="1"/>
      <c r="B2213" s="3"/>
      <c r="C2213" s="33"/>
      <c r="D2213" s="17"/>
    </row>
    <row x14ac:dyDescent="0.25" r="2214" customHeight="1" ht="18.75">
      <c r="A2214" s="1"/>
      <c r="B2214" s="3"/>
      <c r="C2214" s="33"/>
      <c r="D2214" s="17"/>
    </row>
    <row x14ac:dyDescent="0.25" r="2215" customHeight="1" ht="18.75">
      <c r="A2215" s="1"/>
      <c r="B2215" s="3"/>
      <c r="C2215" s="33"/>
      <c r="D2215" s="17"/>
    </row>
    <row x14ac:dyDescent="0.25" r="2216" customHeight="1" ht="18.75">
      <c r="A2216" s="1"/>
      <c r="B2216" s="3"/>
      <c r="C2216" s="33"/>
      <c r="D2216" s="17"/>
    </row>
    <row x14ac:dyDescent="0.25" r="2217" customHeight="1" ht="18.75">
      <c r="A2217" s="1"/>
      <c r="B2217" s="3"/>
      <c r="C2217" s="33"/>
      <c r="D2217" s="17"/>
    </row>
    <row x14ac:dyDescent="0.25" r="2218" customHeight="1" ht="18.75">
      <c r="A2218" s="1"/>
      <c r="B2218" s="3"/>
      <c r="C2218" s="33"/>
      <c r="D2218" s="17"/>
    </row>
    <row x14ac:dyDescent="0.25" r="2219" customHeight="1" ht="18.75">
      <c r="A2219" s="1"/>
      <c r="B2219" s="3"/>
      <c r="C2219" s="33"/>
      <c r="D2219" s="17"/>
    </row>
    <row x14ac:dyDescent="0.25" r="2220" customHeight="1" ht="18.75">
      <c r="A2220" s="1"/>
      <c r="B2220" s="3"/>
      <c r="C2220" s="33"/>
      <c r="D2220" s="17"/>
    </row>
    <row x14ac:dyDescent="0.25" r="2221" customHeight="1" ht="18.75">
      <c r="A2221" s="1"/>
      <c r="B2221" s="3"/>
      <c r="C2221" s="33"/>
      <c r="D2221" s="17"/>
    </row>
    <row x14ac:dyDescent="0.25" r="2222" customHeight="1" ht="18.75">
      <c r="A2222" s="1"/>
      <c r="B2222" s="3"/>
      <c r="C2222" s="33"/>
      <c r="D222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34.14785714285715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2.43357142857143" customWidth="1" bestFit="1"/>
    <col min="8" max="8" style="6" width="11.147857142857141" customWidth="1" bestFit="1"/>
    <col min="9" max="9" style="6" width="13.576428571428572" customWidth="1" bestFit="1"/>
    <col min="10" max="10" style="6" width="24.14785714285714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x14ac:dyDescent="0.25" r="3" customHeight="1" ht="18.75">
      <c r="A3" s="1"/>
      <c r="B3" s="1"/>
      <c r="C3" s="11"/>
      <c r="D3" s="11"/>
      <c r="E3" s="11"/>
      <c r="F3" s="1"/>
      <c r="G3" s="12" t="s">
        <v>137</v>
      </c>
      <c r="H3" s="12"/>
      <c r="I3" s="1"/>
      <c r="J3" s="5" t="s">
        <v>138</v>
      </c>
      <c r="K3" s="5"/>
      <c r="L3" s="5"/>
      <c r="M3" s="5"/>
    </row>
    <row x14ac:dyDescent="0.25" r="4" customHeight="1" ht="18.75">
      <c r="A4" s="1"/>
      <c r="B4" s="1"/>
      <c r="C4" s="13" t="s">
        <v>139</v>
      </c>
      <c r="D4" s="13"/>
      <c r="E4" s="13"/>
      <c r="F4" s="1"/>
      <c r="G4" s="14" t="s">
        <v>140</v>
      </c>
      <c r="H4" s="14"/>
      <c r="I4" s="1"/>
      <c r="J4" s="15"/>
      <c r="K4" s="15"/>
      <c r="L4" s="15"/>
      <c r="M4" s="15"/>
    </row>
    <row x14ac:dyDescent="0.25" r="5" customHeight="1" ht="18.75">
      <c r="A5" s="1"/>
      <c r="B5" s="1"/>
      <c r="C5" s="1" t="s">
        <v>141</v>
      </c>
      <c r="D5" s="1"/>
      <c r="E5" s="1"/>
      <c r="F5" s="1"/>
      <c r="G5" s="1"/>
      <c r="H5" s="1" t="s">
        <v>142</v>
      </c>
      <c r="I5" s="1"/>
      <c r="J5" s="1" t="s">
        <v>143</v>
      </c>
      <c r="K5" s="1" t="s">
        <v>144</v>
      </c>
      <c r="L5" s="1"/>
      <c r="M5" s="1"/>
    </row>
    <row x14ac:dyDescent="0.25" r="6" customHeight="1" ht="18.75">
      <c r="A6" s="1"/>
      <c r="B6" s="1"/>
      <c r="C6" s="1"/>
      <c r="D6" s="1"/>
      <c r="E6" s="1"/>
      <c r="F6" s="1"/>
      <c r="G6" s="1"/>
      <c r="H6" s="1" t="s">
        <v>145</v>
      </c>
      <c r="I6" s="1"/>
      <c r="J6" s="1" t="s">
        <v>146</v>
      </c>
      <c r="K6" s="1" t="s">
        <v>144</v>
      </c>
      <c r="L6" s="1"/>
      <c r="M6" s="1"/>
    </row>
    <row x14ac:dyDescent="0.25" r="7" customHeight="1" ht="18.75">
      <c r="A7" s="1"/>
      <c r="B7" s="1"/>
      <c r="C7" s="1"/>
      <c r="D7" s="1"/>
      <c r="E7" s="1"/>
      <c r="F7" s="1"/>
      <c r="G7" s="1"/>
      <c r="H7" s="1" t="s">
        <v>147</v>
      </c>
      <c r="I7" s="1"/>
      <c r="J7" s="1" t="s">
        <v>148</v>
      </c>
      <c r="K7" s="1" t="s">
        <v>149</v>
      </c>
      <c r="L7" s="1"/>
      <c r="M7" s="1"/>
    </row>
    <row x14ac:dyDescent="0.25" r="8" customHeight="1" ht="18.75">
      <c r="A8" s="1"/>
      <c r="B8" s="1"/>
      <c r="C8" s="1"/>
      <c r="D8" s="1"/>
      <c r="E8" s="1"/>
      <c r="F8" s="1"/>
      <c r="G8" s="1"/>
      <c r="H8" s="1" t="s">
        <v>150</v>
      </c>
      <c r="I8" s="1"/>
      <c r="J8" s="1"/>
      <c r="K8" s="1"/>
      <c r="L8" s="1"/>
      <c r="M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 t="s">
        <v>151</v>
      </c>
      <c r="I10" s="1"/>
      <c r="J10" s="1"/>
      <c r="K10" s="1"/>
      <c r="L10" s="1"/>
      <c r="M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 t="s">
        <v>152</v>
      </c>
      <c r="I11" s="1"/>
      <c r="J11" s="1"/>
      <c r="K11" s="1"/>
      <c r="L11" s="1"/>
      <c r="M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 t="s">
        <v>153</v>
      </c>
      <c r="I12" s="1"/>
      <c r="J12" s="1"/>
      <c r="K12" s="1"/>
      <c r="L12" s="1"/>
      <c r="M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 t="s">
        <v>154</v>
      </c>
      <c r="I13" s="1"/>
      <c r="J13" s="1"/>
      <c r="K13" s="1"/>
      <c r="L13" s="1"/>
      <c r="M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 t="s">
        <v>155</v>
      </c>
      <c r="I14" s="1"/>
      <c r="J14" s="1"/>
      <c r="K14" s="1"/>
      <c r="L14" s="1"/>
      <c r="M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 t="s">
        <v>156</v>
      </c>
      <c r="I15" s="1"/>
      <c r="J15" s="1"/>
      <c r="K15" s="1"/>
      <c r="L15" s="1"/>
      <c r="M1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101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6" width="38.005" customWidth="1" bestFit="1"/>
    <col min="2" max="2" style="6" width="48.14785714285715" customWidth="1" bestFit="1"/>
    <col min="3" max="3" style="6" width="35.43357142857143" customWidth="1" bestFit="1"/>
    <col min="4" max="4" style="6" width="22.862142857142857" customWidth="1" bestFit="1"/>
    <col min="5" max="5" style="6" width="30.14785714285714" customWidth="1" bestFit="1"/>
    <col min="6" max="6" style="6" width="35.43357142857143" customWidth="1" bestFit="1"/>
    <col min="7" max="7" style="6" width="22.862142857142857" customWidth="1" bestFit="1"/>
    <col min="8" max="8" style="6" width="30.14785714285714" customWidth="1" bestFit="1"/>
    <col min="9" max="9" style="6" width="35.43357142857143" customWidth="1" bestFit="1"/>
    <col min="10" max="10" style="6" width="22.862142857142857" customWidth="1" bestFit="1"/>
    <col min="11" max="11" style="6" width="30.14785714285714" customWidth="1" bestFit="1"/>
    <col min="12" max="12" style="6" width="35.43357142857143" customWidth="1" bestFit="1"/>
    <col min="13" max="13" style="6" width="22.862142857142857" customWidth="1" bestFit="1"/>
    <col min="14" max="14" style="6" width="30.14785714285714" customWidth="1" bestFit="1"/>
    <col min="15" max="15" style="6" width="35.43357142857143" customWidth="1" bestFit="1"/>
    <col min="16" max="16" style="6" width="22.862142857142857" customWidth="1" bestFit="1"/>
    <col min="17" max="17" style="6" width="30.14785714285714" customWidth="1" bestFit="1"/>
    <col min="18" max="18" style="6" width="35.43357142857143" customWidth="1" bestFit="1"/>
    <col min="19" max="19" style="6" width="22.862142857142857" customWidth="1" bestFit="1"/>
    <col min="20" max="20" style="6" width="30.14785714285714" customWidth="1" bestFit="1"/>
    <col min="21" max="21" style="6" width="35.43357142857143" customWidth="1" bestFit="1"/>
    <col min="22" max="22" style="6" width="22.862142857142857" customWidth="1" bestFit="1"/>
    <col min="23" max="23" style="6" width="30.14785714285714" customWidth="1" bestFit="1"/>
    <col min="24" max="24" style="6" width="35.43357142857143" customWidth="1" bestFit="1"/>
    <col min="25" max="25" style="6" width="22.862142857142857" customWidth="1" bestFit="1"/>
    <col min="26" max="26" style="6" width="30.14785714285714" customWidth="1" bestFit="1"/>
    <col min="27" max="27" style="6" width="35.43357142857143" customWidth="1" bestFit="1"/>
    <col min="28" max="28" style="6" width="22.862142857142857" customWidth="1" bestFit="1"/>
    <col min="29" max="29" style="6" width="30.14785714285714" customWidth="1" bestFit="1"/>
    <col min="30" max="30" style="6" width="35.43357142857143" customWidth="1" bestFit="1"/>
    <col min="31" max="31" style="6" width="22.862142857142857" customWidth="1" bestFit="1"/>
    <col min="32" max="32" style="6" width="30.14785714285714" customWidth="1" bestFit="1"/>
    <col min="33" max="33" style="6" width="35.43357142857143" customWidth="1" bestFit="1"/>
    <col min="34" max="34" style="10" width="12.576428571428572" customWidth="1" bestFit="1"/>
  </cols>
  <sheetData>
    <row x14ac:dyDescent="0.25" r="1" customHeight="1" ht="18.75">
      <c r="A1" s="1" t="s">
        <v>120</v>
      </c>
      <c r="B1" s="1" t="s">
        <v>121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8"/>
    </row>
    <row x14ac:dyDescent="0.25" r="2" customHeight="1" ht="18.75">
      <c r="A2" s="1" t="s">
        <v>122</v>
      </c>
      <c r="B2" s="1" t="s">
        <v>123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8"/>
    </row>
    <row x14ac:dyDescent="0.25" r="3" customHeight="1" ht="18.75">
      <c r="A3" s="1" t="s">
        <v>124</v>
      </c>
      <c r="B3" s="1" t="s">
        <v>125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8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8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"/>
    </row>
    <row x14ac:dyDescent="0.25" r="6" customHeight="1" ht="18.75">
      <c r="A6" s="1"/>
      <c r="B6" s="1"/>
      <c r="C6" s="2" t="s">
        <v>1</v>
      </c>
      <c r="D6" s="2" t="s">
        <v>1</v>
      </c>
      <c r="E6" s="2" t="s">
        <v>2</v>
      </c>
      <c r="F6" s="2" t="s">
        <v>2</v>
      </c>
      <c r="G6" s="2" t="s">
        <v>3</v>
      </c>
      <c r="H6" s="2" t="s">
        <v>3</v>
      </c>
      <c r="I6" s="2" t="s">
        <v>4</v>
      </c>
      <c r="J6" s="2" t="s">
        <v>4</v>
      </c>
      <c r="K6" s="2" t="s">
        <v>5</v>
      </c>
      <c r="L6" s="2" t="s">
        <v>5</v>
      </c>
      <c r="M6" s="2" t="s">
        <v>5</v>
      </c>
      <c r="N6" s="2" t="s">
        <v>6</v>
      </c>
      <c r="O6" s="2" t="s">
        <v>6</v>
      </c>
      <c r="P6" s="2" t="s">
        <v>7</v>
      </c>
      <c r="Q6" s="2" t="s">
        <v>7</v>
      </c>
      <c r="R6" s="2" t="s">
        <v>7</v>
      </c>
      <c r="S6" s="2" t="s">
        <v>8</v>
      </c>
      <c r="T6" s="2" t="s">
        <v>8</v>
      </c>
      <c r="U6" s="2" t="s">
        <v>9</v>
      </c>
      <c r="V6" s="2" t="s">
        <v>9</v>
      </c>
      <c r="W6" s="2" t="s">
        <v>9</v>
      </c>
      <c r="X6" s="2" t="s">
        <v>10</v>
      </c>
      <c r="Y6" s="2" t="s">
        <v>10</v>
      </c>
      <c r="Z6" s="2" t="s">
        <v>10</v>
      </c>
      <c r="AA6" s="2" t="s">
        <v>11</v>
      </c>
      <c r="AB6" s="2" t="s">
        <v>11</v>
      </c>
      <c r="AC6" s="2" t="s">
        <v>12</v>
      </c>
      <c r="AD6" s="2" t="s">
        <v>12</v>
      </c>
      <c r="AE6" s="2" t="s">
        <v>13</v>
      </c>
      <c r="AF6" s="2" t="s">
        <v>13</v>
      </c>
      <c r="AG6" s="2" t="s">
        <v>13</v>
      </c>
      <c r="AH6" s="4"/>
    </row>
    <row x14ac:dyDescent="0.25" r="7" customHeight="1" ht="18.75">
      <c r="A7" s="1"/>
      <c r="B7" s="1"/>
      <c r="C7" s="2" t="s">
        <v>126</v>
      </c>
      <c r="D7" s="2" t="s">
        <v>127</v>
      </c>
      <c r="E7" s="2" t="s">
        <v>126</v>
      </c>
      <c r="F7" s="2" t="s">
        <v>127</v>
      </c>
      <c r="G7" s="2" t="s">
        <v>126</v>
      </c>
      <c r="H7" s="2" t="s">
        <v>127</v>
      </c>
      <c r="I7" s="2" t="s">
        <v>126</v>
      </c>
      <c r="J7" s="2" t="s">
        <v>127</v>
      </c>
      <c r="K7" s="2" t="s">
        <v>128</v>
      </c>
      <c r="L7" s="2" t="s">
        <v>126</v>
      </c>
      <c r="M7" s="2" t="s">
        <v>127</v>
      </c>
      <c r="N7" s="2" t="s">
        <v>126</v>
      </c>
      <c r="O7" s="2" t="s">
        <v>127</v>
      </c>
      <c r="P7" s="2" t="s">
        <v>128</v>
      </c>
      <c r="Q7" s="2" t="s">
        <v>126</v>
      </c>
      <c r="R7" s="2" t="s">
        <v>127</v>
      </c>
      <c r="S7" s="2" t="s">
        <v>126</v>
      </c>
      <c r="T7" s="2" t="s">
        <v>127</v>
      </c>
      <c r="U7" s="2" t="s">
        <v>128</v>
      </c>
      <c r="V7" s="2" t="s">
        <v>126</v>
      </c>
      <c r="W7" s="2" t="s">
        <v>127</v>
      </c>
      <c r="X7" s="2" t="s">
        <v>128</v>
      </c>
      <c r="Y7" s="2" t="s">
        <v>126</v>
      </c>
      <c r="Z7" s="2" t="s">
        <v>127</v>
      </c>
      <c r="AA7" s="2" t="s">
        <v>126</v>
      </c>
      <c r="AB7" s="2" t="s">
        <v>127</v>
      </c>
      <c r="AC7" s="2" t="s">
        <v>126</v>
      </c>
      <c r="AD7" s="2" t="s">
        <v>127</v>
      </c>
      <c r="AE7" s="2" t="s">
        <v>128</v>
      </c>
      <c r="AF7" s="2" t="s">
        <v>126</v>
      </c>
      <c r="AG7" s="2" t="s">
        <v>127</v>
      </c>
      <c r="AH7" s="9" t="s">
        <v>17</v>
      </c>
    </row>
    <row x14ac:dyDescent="0.25" r="8" customHeight="1" ht="18.75">
      <c r="A8" s="1" t="s">
        <v>18</v>
      </c>
      <c r="B8" s="1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f>SUM(AE8:AG8)</f>
      </c>
    </row>
    <row x14ac:dyDescent="0.25" r="9" customHeight="1" ht="18.75">
      <c r="A9" s="1" t="s">
        <v>20</v>
      </c>
      <c r="B9" s="1" t="s">
        <v>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f>SUM(AE9:AG9)</f>
      </c>
    </row>
    <row x14ac:dyDescent="0.25" r="10" customHeight="1" ht="18.75">
      <c r="A10" s="1" t="s">
        <v>20</v>
      </c>
      <c r="B10" s="1" t="s">
        <v>23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f>SUM(AE10:AG10)</f>
      </c>
    </row>
    <row x14ac:dyDescent="0.25" r="11" customHeight="1" ht="18.75">
      <c r="A11" s="1" t="s">
        <v>20</v>
      </c>
      <c r="B11" s="1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f>SUM(AE11:AG11)</f>
      </c>
    </row>
    <row x14ac:dyDescent="0.25" r="12" customHeight="1" ht="18.75">
      <c r="A12" s="1" t="s">
        <v>20</v>
      </c>
      <c r="B12" s="1" t="s">
        <v>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f>SUM(AE12:AG12)</f>
      </c>
    </row>
    <row x14ac:dyDescent="0.25" r="13" customHeight="1" ht="18.75">
      <c r="A13" s="1" t="s">
        <v>20</v>
      </c>
      <c r="B13" s="1" t="s">
        <v>60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f>SUM(AE13:AG13)</f>
      </c>
    </row>
    <row x14ac:dyDescent="0.25" r="14" customHeight="1" ht="18.75">
      <c r="A14" s="1" t="s">
        <v>26</v>
      </c>
      <c r="B14" s="1" t="s">
        <v>27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>SUM(AE14:AG14)</f>
      </c>
    </row>
    <row x14ac:dyDescent="0.25" r="15" customHeight="1" ht="18.75">
      <c r="A15" s="1" t="s">
        <v>26</v>
      </c>
      <c r="B15" s="1" t="s">
        <v>28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f>SUM(AE15:AG15)</f>
      </c>
    </row>
    <row x14ac:dyDescent="0.25" r="16" customHeight="1" ht="18.75">
      <c r="A16" s="1" t="s">
        <v>26</v>
      </c>
      <c r="B16" s="1" t="s">
        <v>29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f>SUM(AE16:AG16)</f>
      </c>
    </row>
    <row x14ac:dyDescent="0.25" r="17" customHeight="1" ht="18.75">
      <c r="A17" s="1" t="s">
        <v>30</v>
      </c>
      <c r="B17" s="1" t="s">
        <v>31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f>SUM(AE17:AG17)</f>
      </c>
    </row>
    <row x14ac:dyDescent="0.25" r="18" customHeight="1" ht="18.75">
      <c r="A18" s="1" t="s">
        <v>30</v>
      </c>
      <c r="B18" s="1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f>SUM(AE18:AG18)</f>
      </c>
    </row>
    <row x14ac:dyDescent="0.25" r="19" customHeight="1" ht="18.75">
      <c r="A19" s="1" t="s">
        <v>30</v>
      </c>
      <c r="B19" s="1" t="s">
        <v>33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f>SUM(AE19:AG19)</f>
      </c>
    </row>
    <row x14ac:dyDescent="0.25" r="20" customHeight="1" ht="18.75">
      <c r="A20" s="1" t="s">
        <v>30</v>
      </c>
      <c r="B20" s="1" t="s">
        <v>34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>
        <f>SUM(AE20:AG20)</f>
      </c>
    </row>
    <row x14ac:dyDescent="0.25" r="21" customHeight="1" ht="18.75">
      <c r="A21" s="1" t="s">
        <v>30</v>
      </c>
      <c r="B21" s="1" t="s">
        <v>35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f>SUM(AE21:AG21)</f>
      </c>
    </row>
    <row x14ac:dyDescent="0.25" r="22" customHeight="1" ht="18.75">
      <c r="A22" s="1" t="s">
        <v>30</v>
      </c>
      <c r="B22" s="1" t="s">
        <v>55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f>SUM(AE22:AG22)</f>
      </c>
    </row>
    <row x14ac:dyDescent="0.25" r="23" customHeight="1" ht="18.75">
      <c r="A23" s="1" t="s">
        <v>36</v>
      </c>
      <c r="B23" s="1" t="s">
        <v>129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>
        <f>SUM(AE23:AG23)</f>
      </c>
    </row>
    <row x14ac:dyDescent="0.25" r="24" customHeight="1" ht="18.75">
      <c r="A24" s="1" t="s">
        <v>36</v>
      </c>
      <c r="B24" s="1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f>SUM(AE24:AG24)</f>
      </c>
    </row>
    <row x14ac:dyDescent="0.25" r="25" customHeight="1" ht="18.75">
      <c r="A25" s="1" t="s">
        <v>36</v>
      </c>
      <c r="B25" s="1" t="s">
        <v>38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f>SUM(AE25:AG25)</f>
      </c>
    </row>
    <row x14ac:dyDescent="0.25" r="26" customHeight="1" ht="18.75">
      <c r="A26" s="1" t="s">
        <v>36</v>
      </c>
      <c r="B26" s="1" t="s">
        <v>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f>SUM(AE26:AG26)</f>
      </c>
    </row>
    <row x14ac:dyDescent="0.25" r="27" customHeight="1" ht="18.75">
      <c r="A27" s="1" t="s">
        <v>36</v>
      </c>
      <c r="B27" s="1" t="s">
        <v>40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f>SUM(AE27:AG27)</f>
      </c>
    </row>
    <row x14ac:dyDescent="0.25" r="28" customHeight="1" ht="18.75">
      <c r="A28" s="1" t="s">
        <v>36</v>
      </c>
      <c r="B28" s="1" t="s">
        <v>41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f>SUM(AE28:AG28)</f>
      </c>
    </row>
    <row x14ac:dyDescent="0.25" r="29" customHeight="1" ht="18.75">
      <c r="A29" s="1" t="s">
        <v>36</v>
      </c>
      <c r="B29" s="1" t="s">
        <v>42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f>SUM(AE29:AG29)</f>
      </c>
    </row>
    <row x14ac:dyDescent="0.25" r="30" customHeight="1" ht="18.75">
      <c r="A30" s="1" t="s">
        <v>36</v>
      </c>
      <c r="B30" s="1" t="s">
        <v>43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f>SUM(AE30:AG30)</f>
      </c>
    </row>
    <row x14ac:dyDescent="0.25" r="31" customHeight="1" ht="18.75">
      <c r="A31" s="1" t="s">
        <v>36</v>
      </c>
      <c r="B31" s="1" t="s">
        <v>44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f>SUM(AE31:AG31)</f>
      </c>
    </row>
    <row x14ac:dyDescent="0.25" r="32" customHeight="1" ht="18.75">
      <c r="A32" s="1" t="s">
        <v>45</v>
      </c>
      <c r="B32" s="1" t="s">
        <v>46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>
        <f>SUM(AE32:AG32)</f>
      </c>
    </row>
    <row x14ac:dyDescent="0.25" r="33" customHeight="1" ht="18.75">
      <c r="A33" s="1" t="s">
        <v>45</v>
      </c>
      <c r="B33" s="1" t="s">
        <v>47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>
        <f>SUM(AE33:AG33)</f>
      </c>
    </row>
    <row x14ac:dyDescent="0.25" r="34" customHeight="1" ht="18.75">
      <c r="A34" s="1" t="s">
        <v>45</v>
      </c>
      <c r="B34" s="1" t="s">
        <v>48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f>SUM(AE34:AG34)</f>
      </c>
    </row>
    <row x14ac:dyDescent="0.25" r="35" customHeight="1" ht="18.75">
      <c r="A35" s="1" t="s">
        <v>45</v>
      </c>
      <c r="B35" s="1" t="s">
        <v>49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f>SUM(AE35:AG35)</f>
      </c>
    </row>
    <row x14ac:dyDescent="0.25" r="36" customHeight="1" ht="18.75">
      <c r="A36" s="1" t="s">
        <v>50</v>
      </c>
      <c r="B36" s="1" t="s">
        <v>51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f>SUM(AE36:AG36)</f>
      </c>
    </row>
    <row x14ac:dyDescent="0.25" r="37" customHeight="1" ht="18.75">
      <c r="A37" s="1" t="s">
        <v>50</v>
      </c>
      <c r="B37" s="1" t="s">
        <v>52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f>SUM(AE37:AG37)</f>
      </c>
    </row>
    <row x14ac:dyDescent="0.25" r="38" customHeight="1" ht="18.75">
      <c r="A38" s="1" t="s">
        <v>50</v>
      </c>
      <c r="B38" s="1" t="s">
        <v>53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f>SUM(AE38:AG38)</f>
      </c>
    </row>
    <row x14ac:dyDescent="0.25" r="39" customHeight="1" ht="18.75">
      <c r="A39" s="1" t="s">
        <v>50</v>
      </c>
      <c r="B39" s="1" t="s">
        <v>54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f>SUM(AE39:AG39)</f>
      </c>
    </row>
    <row x14ac:dyDescent="0.25" r="40" customHeight="1" ht="18.75">
      <c r="A40" s="1" t="s">
        <v>50</v>
      </c>
      <c r="B40" s="1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f>SUM(AE40:AG40)</f>
      </c>
    </row>
    <row x14ac:dyDescent="0.25" r="41" customHeight="1" ht="18.75">
      <c r="A41" s="1" t="s">
        <v>56</v>
      </c>
      <c r="B41" s="1" t="s">
        <v>57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f>SUM(AE41:AG41)</f>
      </c>
    </row>
    <row x14ac:dyDescent="0.25" r="42" customHeight="1" ht="18.75">
      <c r="A42" s="1" t="s">
        <v>58</v>
      </c>
      <c r="B42" s="1" t="s">
        <v>59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>
        <f>SUM(AE42:AG42)</f>
      </c>
    </row>
    <row x14ac:dyDescent="0.25" r="43" customHeight="1" ht="18.75">
      <c r="A43" s="1" t="s">
        <v>58</v>
      </c>
      <c r="B43" s="1" t="s">
        <v>60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f>SUM(AE43:AG43)</f>
      </c>
    </row>
    <row x14ac:dyDescent="0.25" r="44" customHeight="1" ht="18.75">
      <c r="A44" s="1" t="s">
        <v>61</v>
      </c>
      <c r="B44" s="1" t="s">
        <v>62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f>SUM(AE44:AG44)</f>
      </c>
    </row>
    <row x14ac:dyDescent="0.25" r="45" customHeight="1" ht="18.75">
      <c r="A45" s="1" t="s">
        <v>61</v>
      </c>
      <c r="B45" s="1" t="s">
        <v>63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f>SUM(AE45:AG45)</f>
      </c>
    </row>
    <row x14ac:dyDescent="0.25" r="46" customHeight="1" ht="18.75">
      <c r="A46" s="1" t="s">
        <v>61</v>
      </c>
      <c r="B46" s="1" t="s">
        <v>64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>
        <f>SUM(AE46:AG46)</f>
      </c>
    </row>
    <row x14ac:dyDescent="0.25" r="47" customHeight="1" ht="18.75">
      <c r="A47" s="1" t="s">
        <v>61</v>
      </c>
      <c r="B47" s="1" t="s">
        <v>65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f>SUM(AE47:AG47)</f>
      </c>
    </row>
    <row x14ac:dyDescent="0.25" r="48" customHeight="1" ht="18.75">
      <c r="A48" s="1" t="s">
        <v>61</v>
      </c>
      <c r="B48" s="1" t="s">
        <v>66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f>SUM(AE48:AG48)</f>
      </c>
    </row>
    <row x14ac:dyDescent="0.25" r="49" customHeight="1" ht="18.75">
      <c r="A49" s="1" t="s">
        <v>67</v>
      </c>
      <c r="B49" s="1" t="s">
        <v>68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f>SUM(AE49:AG49)</f>
      </c>
    </row>
    <row x14ac:dyDescent="0.25" r="50" customHeight="1" ht="18.75">
      <c r="A50" s="1" t="s">
        <v>67</v>
      </c>
      <c r="B50" s="1" t="s">
        <v>69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f>SUM(AE50:AG50)</f>
      </c>
    </row>
    <row x14ac:dyDescent="0.25" r="51" customHeight="1" ht="18.75">
      <c r="A51" s="1" t="s">
        <v>67</v>
      </c>
      <c r="B51" s="1" t="s">
        <v>70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>
        <f>SUM(AE51:AG51)</f>
      </c>
    </row>
    <row x14ac:dyDescent="0.25" r="52" customHeight="1" ht="18.75">
      <c r="A52" s="1" t="s">
        <v>67</v>
      </c>
      <c r="B52" s="1" t="s">
        <v>71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f>SUM(AE52:AG52)</f>
      </c>
    </row>
    <row x14ac:dyDescent="0.25" r="53" customHeight="1" ht="18.75">
      <c r="A53" s="1" t="s">
        <v>72</v>
      </c>
      <c r="B53" s="1" t="s">
        <v>73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f>SUM(AE53:AG53)</f>
      </c>
    </row>
    <row x14ac:dyDescent="0.25" r="54" customHeight="1" ht="18.75">
      <c r="A54" s="1" t="s">
        <v>72</v>
      </c>
      <c r="B54" s="1" t="s">
        <v>74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>SUM(AE54:AG54)</f>
      </c>
    </row>
    <row x14ac:dyDescent="0.25" r="55" customHeight="1" ht="18.75">
      <c r="A55" s="1" t="s">
        <v>72</v>
      </c>
      <c r="B55" s="1" t="s">
        <v>75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f>SUM(AE55:AG55)</f>
      </c>
    </row>
    <row x14ac:dyDescent="0.25" r="56" customHeight="1" ht="18.75">
      <c r="A56" s="1" t="s">
        <v>72</v>
      </c>
      <c r="B56" s="1" t="s">
        <v>76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f>SUM(AE56:AG56)</f>
      </c>
    </row>
    <row x14ac:dyDescent="0.25" r="57" customHeight="1" ht="18.75">
      <c r="A57" s="1" t="s">
        <v>77</v>
      </c>
      <c r="B57" s="1" t="s">
        <v>78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f>SUM(AE57:AG57)</f>
      </c>
    </row>
    <row x14ac:dyDescent="0.25" r="58" customHeight="1" ht="18.75">
      <c r="A58" s="1" t="s">
        <v>77</v>
      </c>
      <c r="B58" s="1" t="s">
        <v>79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f>SUM(AE58:AG58)</f>
      </c>
    </row>
    <row x14ac:dyDescent="0.25" r="59" customHeight="1" ht="18.75">
      <c r="A59" s="1" t="s">
        <v>77</v>
      </c>
      <c r="B59" s="1" t="s">
        <v>80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f>SUM(AE59:AG59)</f>
      </c>
    </row>
    <row x14ac:dyDescent="0.25" r="60" customHeight="1" ht="18.75">
      <c r="A60" s="1" t="s">
        <v>77</v>
      </c>
      <c r="B60" s="1" t="s">
        <v>81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f>SUM(AE60:AG60)</f>
      </c>
    </row>
    <row x14ac:dyDescent="0.25" r="61" customHeight="1" ht="18.75">
      <c r="A61" s="1" t="s">
        <v>77</v>
      </c>
      <c r="B61" s="1" t="s">
        <v>82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f>SUM(AE61:AG61)</f>
      </c>
    </row>
    <row x14ac:dyDescent="0.25" r="62" customHeight="1" ht="18.75">
      <c r="A62" s="1" t="s">
        <v>77</v>
      </c>
      <c r="B62" s="1" t="s">
        <v>130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f>SUM(AE62:AG62)</f>
      </c>
    </row>
    <row x14ac:dyDescent="0.25" r="63" customHeight="1" ht="18.75">
      <c r="A63" s="1" t="s">
        <v>83</v>
      </c>
      <c r="B63" s="1" t="s">
        <v>78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f>SUM(AE63:AG63)</f>
      </c>
    </row>
    <row x14ac:dyDescent="0.25" r="64" customHeight="1" ht="18.75">
      <c r="A64" s="1" t="s">
        <v>83</v>
      </c>
      <c r="B64" s="1" t="s">
        <v>84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>
        <f>SUM(AE64:AG64)</f>
      </c>
    </row>
    <row x14ac:dyDescent="0.25" r="65" customHeight="1" ht="18.75">
      <c r="A65" s="1" t="s">
        <v>83</v>
      </c>
      <c r="B65" s="1" t="s">
        <v>85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f>SUM(AE65:AG65)</f>
      </c>
    </row>
    <row x14ac:dyDescent="0.25" r="66" customHeight="1" ht="18.75">
      <c r="A66" s="1" t="s">
        <v>83</v>
      </c>
      <c r="B66" s="1" t="s">
        <v>86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>
        <f>SUM(AE66:AG66)</f>
      </c>
    </row>
    <row x14ac:dyDescent="0.25" r="67" customHeight="1" ht="18.75">
      <c r="A67" s="1" t="s">
        <v>83</v>
      </c>
      <c r="B67" s="1" t="s">
        <v>131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f>SUM(AE67:AG67)</f>
      </c>
    </row>
    <row x14ac:dyDescent="0.25" r="68" customHeight="1" ht="18.75">
      <c r="A68" s="1" t="s">
        <v>83</v>
      </c>
      <c r="B68" s="1" t="s">
        <v>87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f>SUM(AE68:AG68)</f>
      </c>
    </row>
    <row x14ac:dyDescent="0.25" r="69" customHeight="1" ht="18.75">
      <c r="A69" s="1" t="s">
        <v>83</v>
      </c>
      <c r="B69" s="1" t="s">
        <v>132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f>SUM(AE69:AG69)</f>
      </c>
    </row>
    <row x14ac:dyDescent="0.25" r="70" customHeight="1" ht="18.75">
      <c r="A70" s="1" t="s">
        <v>83</v>
      </c>
      <c r="B70" s="1" t="s">
        <v>88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f>SUM(AE70:AG70)</f>
      </c>
    </row>
    <row x14ac:dyDescent="0.25" r="71" customHeight="1" ht="18.75">
      <c r="A71" s="1" t="s">
        <v>83</v>
      </c>
      <c r="B71" s="1" t="s">
        <v>133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>
        <f>SUM(AE71:AG71)</f>
      </c>
    </row>
    <row x14ac:dyDescent="0.25" r="72" customHeight="1" ht="18.75">
      <c r="A72" s="1" t="s">
        <v>83</v>
      </c>
      <c r="B72" s="1" t="s">
        <v>89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f>SUM(AE72:AG72)</f>
      </c>
    </row>
    <row x14ac:dyDescent="0.25" r="73" customHeight="1" ht="18.75">
      <c r="A73" s="1" t="s">
        <v>83</v>
      </c>
      <c r="B73" s="1" t="s">
        <v>90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f>SUM(AE73:AG73)</f>
      </c>
    </row>
    <row x14ac:dyDescent="0.25" r="74" customHeight="1" ht="18.75">
      <c r="A74" s="1" t="s">
        <v>83</v>
      </c>
      <c r="B74" s="1" t="s">
        <v>91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f>SUM(AE74:AG74)</f>
      </c>
    </row>
    <row x14ac:dyDescent="0.25" r="75" customHeight="1" ht="18.75">
      <c r="A75" s="1" t="s">
        <v>83</v>
      </c>
      <c r="B75" s="1" t="s">
        <v>92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f>SUM(AE75:AG75)</f>
      </c>
    </row>
    <row x14ac:dyDescent="0.25" r="76" customHeight="1" ht="18.75">
      <c r="A76" s="1" t="s">
        <v>83</v>
      </c>
      <c r="B76" s="1" t="s">
        <v>93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f>SUM(AE76:AG76)</f>
      </c>
    </row>
    <row x14ac:dyDescent="0.25" r="77" customHeight="1" ht="18.75">
      <c r="A77" s="1" t="s">
        <v>83</v>
      </c>
      <c r="B77" s="1" t="s">
        <v>94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f>SUM(AE77:AG77)</f>
      </c>
    </row>
    <row x14ac:dyDescent="0.25" r="78" customHeight="1" ht="18.75">
      <c r="A78" s="1" t="s">
        <v>83</v>
      </c>
      <c r="B78" s="1" t="s">
        <v>95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f>SUM(AE78:AG78)</f>
      </c>
    </row>
    <row x14ac:dyDescent="0.25" r="79" customHeight="1" ht="18.75">
      <c r="A79" s="1" t="s">
        <v>83</v>
      </c>
      <c r="B79" s="1" t="s">
        <v>60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f>SUM(AE79:AG79)</f>
      </c>
    </row>
    <row x14ac:dyDescent="0.25" r="80" customHeight="1" ht="18.75">
      <c r="A80" s="1" t="s">
        <v>96</v>
      </c>
      <c r="B80" s="1" t="s">
        <v>97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f>SUM(AE80:AG80)</f>
      </c>
    </row>
    <row x14ac:dyDescent="0.25" r="81" customHeight="1" ht="18.75">
      <c r="A81" s="1" t="s">
        <v>96</v>
      </c>
      <c r="B81" s="1" t="s">
        <v>98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f>SUM(AE81:AG81)</f>
      </c>
    </row>
    <row x14ac:dyDescent="0.25" r="82" customHeight="1" ht="18.75">
      <c r="A82" s="1" t="s">
        <v>96</v>
      </c>
      <c r="B82" s="1" t="s">
        <v>99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f>SUM(AE82:AG82)</f>
      </c>
    </row>
    <row x14ac:dyDescent="0.25" r="83" customHeight="1" ht="18.75">
      <c r="A83" s="1" t="s">
        <v>96</v>
      </c>
      <c r="B83" s="1" t="s">
        <v>100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f>SUM(AE83:AG83)</f>
      </c>
    </row>
    <row x14ac:dyDescent="0.25" r="84" customHeight="1" ht="18.75">
      <c r="A84" s="1" t="s">
        <v>96</v>
      </c>
      <c r="B84" s="1" t="s">
        <v>101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f>SUM(AE84:AG84)</f>
      </c>
    </row>
    <row x14ac:dyDescent="0.25" r="85" customHeight="1" ht="18.75">
      <c r="A85" s="1" t="s">
        <v>96</v>
      </c>
      <c r="B85" s="1" t="s">
        <v>134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f>SUM(AE85:AG85)</f>
      </c>
    </row>
    <row x14ac:dyDescent="0.25" r="86" customHeight="1" ht="18.75">
      <c r="A86" s="1" t="s">
        <v>96</v>
      </c>
      <c r="B86" s="1" t="s">
        <v>102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f>SUM(AE86:AG86)</f>
      </c>
    </row>
    <row x14ac:dyDescent="0.25" r="87" customHeight="1" ht="18.75">
      <c r="A87" s="1" t="s">
        <v>96</v>
      </c>
      <c r="B87" s="1" t="s">
        <v>103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f>SUM(AE87:AG87)</f>
      </c>
    </row>
    <row x14ac:dyDescent="0.25" r="88" customHeight="1" ht="18.75">
      <c r="A88" s="1" t="s">
        <v>96</v>
      </c>
      <c r="B88" s="1" t="s">
        <v>104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f>SUM(AE88:AG88)</f>
      </c>
    </row>
    <row x14ac:dyDescent="0.25" r="89" customHeight="1" ht="18.75">
      <c r="A89" s="1" t="s">
        <v>96</v>
      </c>
      <c r="B89" s="1" t="s">
        <v>135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f>SUM(AE89:AG89)</f>
      </c>
    </row>
    <row x14ac:dyDescent="0.25" r="90" customHeight="1" ht="18.75">
      <c r="A90" s="1" t="s">
        <v>96</v>
      </c>
      <c r="B90" s="1" t="s">
        <v>105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f>SUM(AE90:AG90)</f>
      </c>
    </row>
    <row x14ac:dyDescent="0.25" r="91" customHeight="1" ht="18.75">
      <c r="A91" s="1" t="s">
        <v>96</v>
      </c>
      <c r="B91" s="1" t="s">
        <v>136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f>SUM(AE91:AG91)</f>
      </c>
    </row>
    <row x14ac:dyDescent="0.25" r="92" customHeight="1" ht="18.75">
      <c r="A92" s="1" t="s">
        <v>96</v>
      </c>
      <c r="B92" s="1" t="s">
        <v>106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f>SUM(AE92:AG92)</f>
      </c>
    </row>
    <row x14ac:dyDescent="0.25" r="93" customHeight="1" ht="18.75">
      <c r="A93" s="1" t="s">
        <v>96</v>
      </c>
      <c r="B93" s="1" t="s">
        <v>107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f>SUM(AE93:AG93)</f>
      </c>
    </row>
    <row x14ac:dyDescent="0.25" r="94" customHeight="1" ht="18.75">
      <c r="A94" s="1" t="s">
        <v>96</v>
      </c>
      <c r="B94" s="1" t="s">
        <v>108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f>SUM(AE94:AG94)</f>
      </c>
    </row>
    <row x14ac:dyDescent="0.25" r="95" customHeight="1" ht="18.75">
      <c r="A95" s="1" t="s">
        <v>96</v>
      </c>
      <c r="B95" s="1" t="s">
        <v>109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f>SUM(AE95:AG95)</f>
      </c>
    </row>
    <row x14ac:dyDescent="0.25" r="96" customHeight="1" ht="18.75">
      <c r="A96" s="1" t="s">
        <v>96</v>
      </c>
      <c r="B96" s="1" t="s">
        <v>60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f>SUM(AE96:AG96)</f>
      </c>
    </row>
    <row x14ac:dyDescent="0.25" r="97" customHeight="1" ht="18.75">
      <c r="A97" s="1" t="s">
        <v>111</v>
      </c>
      <c r="B97" s="1" t="s">
        <v>112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f>SUM(AE97:AG97)</f>
      </c>
    </row>
    <row x14ac:dyDescent="0.25" r="98" customHeight="1" ht="18.75">
      <c r="A98" s="1" t="s">
        <v>113</v>
      </c>
      <c r="B98" s="1" t="s">
        <v>114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f>SUM(AE98:AG98)</f>
      </c>
    </row>
    <row x14ac:dyDescent="0.25" r="99" customHeight="1" ht="18.75">
      <c r="A99" s="1" t="s">
        <v>115</v>
      </c>
      <c r="B99" s="1" t="s">
        <v>116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f>SUM(AE99:AG99)</f>
      </c>
    </row>
    <row x14ac:dyDescent="0.25" r="100" customHeight="1" ht="18.75">
      <c r="A100" s="1" t="s">
        <v>115</v>
      </c>
      <c r="B100" s="1" t="s">
        <v>117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f>SUM(AE100:AG100)</f>
      </c>
    </row>
    <row x14ac:dyDescent="0.25" r="101" customHeight="1" ht="18.75">
      <c r="A101" s="1" t="s">
        <v>118</v>
      </c>
      <c r="B101" s="1" t="s">
        <v>119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f>SUM(AE101:AG101)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35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6" width="35.43357142857143" customWidth="1" bestFit="1"/>
    <col min="2" max="2" style="6" width="45.57642857142857" customWidth="1" bestFit="1"/>
    <col min="3" max="3" style="6" width="15.43357142857143" customWidth="1" bestFit="1"/>
    <col min="4" max="4" style="6" width="15.576428571428572" customWidth="1" bestFit="1"/>
    <col min="5" max="5" style="6" width="11.147857142857141" customWidth="1" bestFit="1"/>
    <col min="6" max="6" style="6" width="15.43357142857143" customWidth="1" bestFit="1"/>
    <col min="7" max="7" style="6" width="15.576428571428572" customWidth="1" bestFit="1"/>
    <col min="8" max="8" style="6" width="11.147857142857141" customWidth="1" bestFit="1"/>
    <col min="9" max="9" style="6" width="15.43357142857143" customWidth="1" bestFit="1"/>
    <col min="10" max="10" style="6" width="15.576428571428572" customWidth="1" bestFit="1"/>
    <col min="11" max="11" style="6" width="11.147857142857141" customWidth="1" bestFit="1"/>
    <col min="12" max="12" style="6" width="15.43357142857143" customWidth="1" bestFit="1"/>
    <col min="13" max="13" style="6" width="15.576428571428572" customWidth="1" bestFit="1"/>
    <col min="14" max="14" style="6" width="11.147857142857141" customWidth="1" bestFit="1"/>
    <col min="15" max="15" style="6" width="15.43357142857143" customWidth="1" bestFit="1"/>
    <col min="16" max="16" style="6" width="15.576428571428572" customWidth="1" bestFit="1"/>
    <col min="17" max="17" style="6" width="11.147857142857141" customWidth="1" bestFit="1"/>
    <col min="18" max="18" style="6" width="15.43357142857143" customWidth="1" bestFit="1"/>
    <col min="19" max="19" style="6" width="15.576428571428572" customWidth="1" bestFit="1"/>
    <col min="20" max="20" style="6" width="11.147857142857141" customWidth="1" bestFit="1"/>
    <col min="21" max="21" style="6" width="15.43357142857143" customWidth="1" bestFit="1"/>
    <col min="22" max="22" style="6" width="15.576428571428572" customWidth="1" bestFit="1"/>
    <col min="23" max="23" style="6" width="11.147857142857141" customWidth="1" bestFit="1"/>
    <col min="24" max="24" style="6" width="15.43357142857143" customWidth="1" bestFit="1"/>
    <col min="25" max="25" style="6" width="15.576428571428572" customWidth="1" bestFit="1"/>
    <col min="26" max="26" style="6" width="11.147857142857141" customWidth="1" bestFit="1"/>
    <col min="27" max="27" style="6" width="15.43357142857143" customWidth="1" bestFit="1"/>
    <col min="28" max="28" style="6" width="15.576428571428572" customWidth="1" bestFit="1"/>
    <col min="29" max="29" style="6" width="11.147857142857141" customWidth="1" bestFit="1"/>
    <col min="30" max="30" style="6" width="15.43357142857143" customWidth="1" bestFit="1"/>
    <col min="31" max="31" style="6" width="15.576428571428572" customWidth="1" bestFit="1"/>
    <col min="32" max="32" style="7" width="10.862142857142858" customWidth="1" bestFit="1"/>
    <col min="33" max="33" style="6" width="13.576428571428572" customWidth="1" bestFit="1"/>
  </cols>
  <sheetData>
    <row x14ac:dyDescent="0.25" r="1" customHeight="1" ht="18.75">
      <c r="A1" s="1"/>
      <c r="B1" s="1"/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3</v>
      </c>
      <c r="K1" s="2" t="s">
        <v>3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8</v>
      </c>
      <c r="U1" s="2" t="s">
        <v>8</v>
      </c>
      <c r="V1" s="2" t="s">
        <v>9</v>
      </c>
      <c r="W1" s="2" t="s">
        <v>9</v>
      </c>
      <c r="X1" s="2" t="s">
        <v>10</v>
      </c>
      <c r="Y1" s="2" t="s">
        <v>10</v>
      </c>
      <c r="Z1" s="2" t="s">
        <v>11</v>
      </c>
      <c r="AA1" s="2" t="s">
        <v>11</v>
      </c>
      <c r="AB1" s="2" t="s">
        <v>12</v>
      </c>
      <c r="AC1" s="2" t="s">
        <v>12</v>
      </c>
      <c r="AD1" s="2" t="s">
        <v>13</v>
      </c>
      <c r="AE1" s="2" t="s">
        <v>13</v>
      </c>
      <c r="AF1" s="3"/>
      <c r="AG1" s="1"/>
    </row>
    <row x14ac:dyDescent="0.25" r="2" customHeight="1" ht="18.75">
      <c r="A2" s="1"/>
      <c r="B2" s="1"/>
      <c r="C2" s="2" t="s">
        <v>14</v>
      </c>
      <c r="D2" s="2" t="s">
        <v>15</v>
      </c>
      <c r="E2" s="2" t="s">
        <v>16</v>
      </c>
      <c r="F2" s="2" t="s">
        <v>15</v>
      </c>
      <c r="G2" s="2" t="s">
        <v>16</v>
      </c>
      <c r="H2" s="2" t="s">
        <v>15</v>
      </c>
      <c r="I2" s="2" t="s">
        <v>16</v>
      </c>
      <c r="J2" s="2" t="s">
        <v>15</v>
      </c>
      <c r="K2" s="2" t="s">
        <v>16</v>
      </c>
      <c r="L2" s="2" t="s">
        <v>15</v>
      </c>
      <c r="M2" s="2" t="s">
        <v>16</v>
      </c>
      <c r="N2" s="2" t="s">
        <v>15</v>
      </c>
      <c r="O2" s="2" t="s">
        <v>16</v>
      </c>
      <c r="P2" s="2" t="s">
        <v>15</v>
      </c>
      <c r="Q2" s="2" t="s">
        <v>16</v>
      </c>
      <c r="R2" s="2" t="s">
        <v>15</v>
      </c>
      <c r="S2" s="2" t="s">
        <v>16</v>
      </c>
      <c r="T2" s="2" t="s">
        <v>15</v>
      </c>
      <c r="U2" s="2" t="s">
        <v>16</v>
      </c>
      <c r="V2" s="2" t="s">
        <v>15</v>
      </c>
      <c r="W2" s="2" t="s">
        <v>16</v>
      </c>
      <c r="X2" s="2" t="s">
        <v>15</v>
      </c>
      <c r="Y2" s="2" t="s">
        <v>16</v>
      </c>
      <c r="Z2" s="2" t="s">
        <v>15</v>
      </c>
      <c r="AA2" s="2" t="s">
        <v>16</v>
      </c>
      <c r="AB2" s="2" t="s">
        <v>15</v>
      </c>
      <c r="AC2" s="2" t="s">
        <v>16</v>
      </c>
      <c r="AD2" s="2" t="s">
        <v>15</v>
      </c>
      <c r="AE2" s="2" t="s">
        <v>16</v>
      </c>
      <c r="AF2" s="3" t="s">
        <v>17</v>
      </c>
      <c r="AG2" s="1"/>
    </row>
    <row x14ac:dyDescent="0.25" r="3" customHeight="1" ht="18.75">
      <c r="A3" s="1" t="s">
        <v>18</v>
      </c>
      <c r="B3" s="1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>
        <f>SUM(AD3:AE3)</f>
      </c>
      <c r="AG3" s="1"/>
    </row>
    <row x14ac:dyDescent="0.25" r="4" customHeight="1" ht="18.75">
      <c r="A4" s="1" t="s">
        <v>20</v>
      </c>
      <c r="B4" s="1" t="s">
        <v>21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>
        <f>SUM(AD4:AE4)</f>
      </c>
      <c r="AG4" s="1"/>
    </row>
    <row x14ac:dyDescent="0.25" r="5" customHeight="1" ht="18.75">
      <c r="A5" s="1" t="s">
        <v>20</v>
      </c>
      <c r="B5" s="1" t="s">
        <v>22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>
        <f>SUM(AD5:AE5)</f>
      </c>
      <c r="AG5" s="1"/>
    </row>
    <row x14ac:dyDescent="0.25" r="6" customHeight="1" ht="18.75">
      <c r="A6" s="1" t="s">
        <v>20</v>
      </c>
      <c r="B6" s="1" t="s">
        <v>23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>SUM(AD6:AE6)</f>
      </c>
      <c r="AG6" s="1"/>
    </row>
    <row x14ac:dyDescent="0.25" r="7" customHeight="1" ht="18.75">
      <c r="A7" s="1" t="s">
        <v>20</v>
      </c>
      <c r="B7" s="1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f>SUM(AD7:AE7)</f>
      </c>
      <c r="AG7" s="1"/>
    </row>
    <row x14ac:dyDescent="0.25" r="8" customHeight="1" ht="18.75">
      <c r="A8" s="1" t="s">
        <v>20</v>
      </c>
      <c r="B8" s="1" t="s">
        <v>25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>
        <f>SUM(AD8:AE8)</f>
      </c>
      <c r="AG8" s="1"/>
    </row>
    <row x14ac:dyDescent="0.25" r="9" customHeight="1" ht="18.75">
      <c r="A9" s="1" t="s">
        <v>26</v>
      </c>
      <c r="B9" s="1" t="s">
        <v>27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>
        <f>SUM(AD9:AE9)</f>
      </c>
      <c r="AG9" s="1"/>
    </row>
    <row x14ac:dyDescent="0.25" r="10" customHeight="1" ht="18.75">
      <c r="A10" s="1" t="s">
        <v>26</v>
      </c>
      <c r="B10" s="1" t="s">
        <v>28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>
        <f>SUM(AD10:AE10)</f>
      </c>
      <c r="AG10" s="1"/>
    </row>
    <row x14ac:dyDescent="0.25" r="11" customHeight="1" ht="18.75">
      <c r="A11" s="1" t="s">
        <v>26</v>
      </c>
      <c r="B11" s="1" t="s">
        <v>29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>
        <f>SUM(AD11:AE11)</f>
      </c>
      <c r="AG11" s="1"/>
    </row>
    <row x14ac:dyDescent="0.25" r="12" customHeight="1" ht="18.75">
      <c r="A12" s="1" t="s">
        <v>30</v>
      </c>
      <c r="B12" s="1" t="s">
        <v>31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>SUM(AD12:AE12)</f>
      </c>
      <c r="AG12" s="1"/>
    </row>
    <row x14ac:dyDescent="0.25" r="13" customHeight="1" ht="18.75">
      <c r="A13" s="1" t="s">
        <v>30</v>
      </c>
      <c r="B13" s="1" t="s">
        <v>32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>
        <f>SUM(AD13:AE13)</f>
      </c>
      <c r="AG13" s="1"/>
    </row>
    <row x14ac:dyDescent="0.25" r="14" customHeight="1" ht="18.75">
      <c r="A14" s="1" t="s">
        <v>30</v>
      </c>
      <c r="B14" s="1" t="s">
        <v>33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>
        <f>SUM(AD14:AE14)</f>
      </c>
      <c r="AG14" s="1"/>
    </row>
    <row x14ac:dyDescent="0.25" r="15" customHeight="1" ht="18.75">
      <c r="A15" s="1" t="s">
        <v>30</v>
      </c>
      <c r="B15" s="1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>
        <f>SUM(AD15:AE15)</f>
      </c>
      <c r="AG15" s="1"/>
    </row>
    <row x14ac:dyDescent="0.25" r="16" customHeight="1" ht="18.75">
      <c r="A16" s="1" t="s">
        <v>30</v>
      </c>
      <c r="B16" s="1" t="s">
        <v>35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>
        <f>SUM(AD16:AE16)</f>
      </c>
      <c r="AG16" s="1"/>
    </row>
    <row x14ac:dyDescent="0.25" r="17" customHeight="1" ht="18.75">
      <c r="A17" s="1" t="s">
        <v>36</v>
      </c>
      <c r="B17" s="1" t="s">
        <v>37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>
        <f>SUM(AD17:AE17)</f>
      </c>
      <c r="AG17" s="1"/>
    </row>
    <row x14ac:dyDescent="0.25" r="18" customHeight="1" ht="18.75">
      <c r="A18" s="1" t="s">
        <v>36</v>
      </c>
      <c r="B18" s="1" t="s">
        <v>38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>SUM(AD18:AE18)</f>
      </c>
      <c r="AG18" s="1"/>
    </row>
    <row x14ac:dyDescent="0.25" r="19" customHeight="1" ht="18.75">
      <c r="A19" s="1" t="s">
        <v>36</v>
      </c>
      <c r="B19" s="1" t="s">
        <v>39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f>SUM(AD19:AE19)</f>
      </c>
      <c r="AG19" s="1"/>
    </row>
    <row x14ac:dyDescent="0.25" r="20" customHeight="1" ht="18.75">
      <c r="A20" s="1" t="s">
        <v>36</v>
      </c>
      <c r="B20" s="1" t="s">
        <v>40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>
        <f>SUM(AD20:AE20)</f>
      </c>
      <c r="AG20" s="1"/>
    </row>
    <row x14ac:dyDescent="0.25" r="21" customHeight="1" ht="18.75">
      <c r="A21" s="1" t="s">
        <v>36</v>
      </c>
      <c r="B21" s="1" t="s">
        <v>41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>
        <f>SUM(AD21:AE21)</f>
      </c>
      <c r="AG21" s="1"/>
    </row>
    <row x14ac:dyDescent="0.25" r="22" customHeight="1" ht="18.75">
      <c r="A22" s="1" t="s">
        <v>36</v>
      </c>
      <c r="B22" s="1" t="s">
        <v>42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>SUM(AD22:AE22)</f>
      </c>
      <c r="AG22" s="1"/>
    </row>
    <row x14ac:dyDescent="0.25" r="23" customHeight="1" ht="18.75">
      <c r="A23" s="1" t="s">
        <v>36</v>
      </c>
      <c r="B23" s="1" t="s">
        <v>43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>
        <f>SUM(AD23:AE23)</f>
      </c>
      <c r="AG23" s="1"/>
    </row>
    <row x14ac:dyDescent="0.25" r="24" customHeight="1" ht="18.75">
      <c r="A24" s="1" t="s">
        <v>36</v>
      </c>
      <c r="B24" s="1" t="s">
        <v>44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>
        <f>SUM(AD24:AE24)</f>
      </c>
      <c r="AG24" s="1"/>
    </row>
    <row x14ac:dyDescent="0.25" r="25" customHeight="1" ht="18.75">
      <c r="A25" s="1" t="s">
        <v>45</v>
      </c>
      <c r="B25" s="1" t="s">
        <v>46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>
        <f>SUM(AD25:AE25)</f>
      </c>
      <c r="AG25" s="1"/>
    </row>
    <row x14ac:dyDescent="0.25" r="26" customHeight="1" ht="18.75">
      <c r="A26" s="1" t="s">
        <v>45</v>
      </c>
      <c r="B26" s="1" t="s">
        <v>47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>
        <f>SUM(AD26:AE26)</f>
      </c>
      <c r="AG26" s="1"/>
    </row>
    <row x14ac:dyDescent="0.25" r="27" customHeight="1" ht="18.75">
      <c r="A27" s="1" t="s">
        <v>45</v>
      </c>
      <c r="B27" s="1" t="s">
        <v>48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>
        <f>SUM(AD27:AE27)</f>
      </c>
      <c r="AG27" s="1"/>
    </row>
    <row x14ac:dyDescent="0.25" r="28" customHeight="1" ht="18.75">
      <c r="A28" s="1" t="s">
        <v>45</v>
      </c>
      <c r="B28" s="1" t="s">
        <v>49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>
        <f>SUM(AD28:AE28)</f>
      </c>
      <c r="AG28" s="1"/>
    </row>
    <row x14ac:dyDescent="0.25" r="29" customHeight="1" ht="18.75">
      <c r="A29" s="1" t="s">
        <v>50</v>
      </c>
      <c r="B29" s="1" t="s">
        <v>51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>
        <f>SUM(AD29:AE29)</f>
      </c>
      <c r="AG29" s="1"/>
    </row>
    <row x14ac:dyDescent="0.25" r="30" customHeight="1" ht="18.75">
      <c r="A30" s="1" t="s">
        <v>50</v>
      </c>
      <c r="B30" s="1" t="s">
        <v>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>
        <f>SUM(AD30:AE30)</f>
      </c>
      <c r="AG30" s="1"/>
    </row>
    <row x14ac:dyDescent="0.25" r="31" customHeight="1" ht="18.75">
      <c r="A31" s="1" t="s">
        <v>50</v>
      </c>
      <c r="B31" s="1" t="s">
        <v>53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>
        <f>SUM(AD31:AE31)</f>
      </c>
      <c r="AG31" s="1"/>
    </row>
    <row x14ac:dyDescent="0.25" r="32" customHeight="1" ht="18.75">
      <c r="A32" s="1" t="s">
        <v>50</v>
      </c>
      <c r="B32" s="1" t="s">
        <v>54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>
        <f>SUM(AD32:AE32)</f>
      </c>
      <c r="AG32" s="1"/>
    </row>
    <row x14ac:dyDescent="0.25" r="33" customHeight="1" ht="18.75">
      <c r="A33" s="1" t="s">
        <v>50</v>
      </c>
      <c r="B33" s="1" t="s">
        <v>55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>
        <f>SUM(AD33:AE33)</f>
      </c>
      <c r="AG33" s="1"/>
    </row>
    <row x14ac:dyDescent="0.25" r="34" customHeight="1" ht="18.75">
      <c r="A34" s="1" t="s">
        <v>56</v>
      </c>
      <c r="B34" s="1" t="s">
        <v>57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>
        <f>SUM(AD34:AE34)</f>
      </c>
      <c r="AG34" s="1"/>
    </row>
    <row x14ac:dyDescent="0.25" r="35" customHeight="1" ht="18.75">
      <c r="A35" s="1" t="s">
        <v>58</v>
      </c>
      <c r="B35" s="1" t="s">
        <v>59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>
        <f>SUM(AD35:AE35)</f>
      </c>
      <c r="AG35" s="1"/>
    </row>
    <row x14ac:dyDescent="0.25" r="36" customHeight="1" ht="18.75">
      <c r="A36" s="1" t="s">
        <v>58</v>
      </c>
      <c r="B36" s="1" t="s">
        <v>60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>
        <f>SUM(AD36:AE36)</f>
      </c>
      <c r="AG36" s="1"/>
    </row>
    <row x14ac:dyDescent="0.25" r="37" customHeight="1" ht="18.75">
      <c r="A37" s="1" t="s">
        <v>61</v>
      </c>
      <c r="B37" s="1" t="s">
        <v>62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>
        <f>SUM(AD37:AE37)</f>
      </c>
      <c r="AG37" s="1"/>
    </row>
    <row x14ac:dyDescent="0.25" r="38" customHeight="1" ht="18.75">
      <c r="A38" s="1" t="s">
        <v>61</v>
      </c>
      <c r="B38" s="1" t="s">
        <v>63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>
        <f>SUM(AD38:AE38)</f>
      </c>
      <c r="AG38" s="1"/>
    </row>
    <row x14ac:dyDescent="0.25" r="39" customHeight="1" ht="18.75">
      <c r="A39" s="1" t="s">
        <v>61</v>
      </c>
      <c r="B39" s="1" t="s">
        <v>64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>
        <f>SUM(AD39:AE39)</f>
      </c>
      <c r="AG39" s="1"/>
    </row>
    <row x14ac:dyDescent="0.25" r="40" customHeight="1" ht="18.75">
      <c r="A40" s="1" t="s">
        <v>61</v>
      </c>
      <c r="B40" s="1" t="s">
        <v>65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>
        <f>SUM(AD40:AE40)</f>
      </c>
      <c r="AG40" s="1"/>
    </row>
    <row x14ac:dyDescent="0.25" r="41" customHeight="1" ht="18.75">
      <c r="A41" s="1" t="s">
        <v>61</v>
      </c>
      <c r="B41" s="1" t="s">
        <v>66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>
        <f>SUM(AD41:AE41)</f>
      </c>
      <c r="AG41" s="1"/>
    </row>
    <row x14ac:dyDescent="0.25" r="42" customHeight="1" ht="18.75">
      <c r="A42" s="1" t="s">
        <v>67</v>
      </c>
      <c r="B42" s="1" t="s">
        <v>68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>
        <f>SUM(AD42:AE42)</f>
      </c>
      <c r="AG42" s="1"/>
    </row>
    <row x14ac:dyDescent="0.25" r="43" customHeight="1" ht="18.75">
      <c r="A43" s="1" t="s">
        <v>67</v>
      </c>
      <c r="B43" s="1" t="s">
        <v>69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>
        <f>SUM(AD43:AE43)</f>
      </c>
      <c r="AG43" s="1"/>
    </row>
    <row x14ac:dyDescent="0.25" r="44" customHeight="1" ht="18.75">
      <c r="A44" s="1" t="s">
        <v>67</v>
      </c>
      <c r="B44" s="1" t="s">
        <v>70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>
        <f>SUM(AD44:AE44)</f>
      </c>
      <c r="AG44" s="1"/>
    </row>
    <row x14ac:dyDescent="0.25" r="45" customHeight="1" ht="18.75">
      <c r="A45" s="1" t="s">
        <v>67</v>
      </c>
      <c r="B45" s="1" t="s">
        <v>71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>
        <f>SUM(AD45:AE45)</f>
      </c>
      <c r="AG45" s="1"/>
    </row>
    <row x14ac:dyDescent="0.25" r="46" customHeight="1" ht="18.75">
      <c r="A46" s="1" t="s">
        <v>72</v>
      </c>
      <c r="B46" s="1" t="s">
        <v>73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f>SUM(AD46:AE46)</f>
      </c>
      <c r="AG46" s="1"/>
    </row>
    <row x14ac:dyDescent="0.25" r="47" customHeight="1" ht="18.75">
      <c r="A47" s="1" t="s">
        <v>72</v>
      </c>
      <c r="B47" s="1" t="s">
        <v>74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>
        <f>SUM(AD47:AE47)</f>
      </c>
      <c r="AG47" s="1"/>
    </row>
    <row x14ac:dyDescent="0.25" r="48" customHeight="1" ht="18.75">
      <c r="A48" s="1" t="s">
        <v>72</v>
      </c>
      <c r="B48" s="1" t="s">
        <v>75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>
        <f>SUM(AD48:AE48)</f>
      </c>
      <c r="AG48" s="1"/>
    </row>
    <row x14ac:dyDescent="0.25" r="49" customHeight="1" ht="18.75">
      <c r="A49" s="1" t="s">
        <v>72</v>
      </c>
      <c r="B49" s="1" t="s">
        <v>76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>
        <f>SUM(AD49:AE49)</f>
      </c>
      <c r="AG49" s="1"/>
    </row>
    <row x14ac:dyDescent="0.25" r="50" customHeight="1" ht="18.75">
      <c r="A50" s="1" t="s">
        <v>77</v>
      </c>
      <c r="B50" s="1" t="s">
        <v>78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>
        <f>SUM(AD50:AE50)</f>
      </c>
      <c r="AG50" s="1"/>
    </row>
    <row x14ac:dyDescent="0.25" r="51" customHeight="1" ht="18.75">
      <c r="A51" s="1" t="s">
        <v>77</v>
      </c>
      <c r="B51" s="1" t="s">
        <v>79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>
        <f>SUM(AD51:AE51)</f>
      </c>
      <c r="AG51" s="1"/>
    </row>
    <row x14ac:dyDescent="0.25" r="52" customHeight="1" ht="18.75">
      <c r="A52" s="1" t="s">
        <v>77</v>
      </c>
      <c r="B52" s="1" t="s">
        <v>80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>
        <f>SUM(AD52:AE52)</f>
      </c>
      <c r="AG52" s="1"/>
    </row>
    <row x14ac:dyDescent="0.25" r="53" customHeight="1" ht="18.75">
      <c r="A53" s="1" t="s">
        <v>77</v>
      </c>
      <c r="B53" s="1" t="s">
        <v>81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>
        <f>SUM(AD53:AE53)</f>
      </c>
      <c r="AG53" s="1"/>
    </row>
    <row x14ac:dyDescent="0.25" r="54" customHeight="1" ht="18.75">
      <c r="A54" s="1" t="s">
        <v>77</v>
      </c>
      <c r="B54" s="1" t="s">
        <v>82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>
        <f>SUM(AD54:AE54)</f>
      </c>
      <c r="AG54" s="1"/>
    </row>
    <row x14ac:dyDescent="0.25" r="55" customHeight="1" ht="18.75">
      <c r="A55" s="1" t="s">
        <v>83</v>
      </c>
      <c r="B55" s="1" t="s">
        <v>84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>
        <f>SUM(AD55:AE55)</f>
      </c>
      <c r="AG55" s="1"/>
    </row>
    <row x14ac:dyDescent="0.25" r="56" customHeight="1" ht="18.75">
      <c r="A56" s="1" t="s">
        <v>83</v>
      </c>
      <c r="B56" s="1" t="s">
        <v>85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>
        <f>SUM(AD56:AE56)</f>
      </c>
      <c r="AG56" s="1"/>
    </row>
    <row x14ac:dyDescent="0.25" r="57" customHeight="1" ht="18.75">
      <c r="A57" s="1" t="s">
        <v>83</v>
      </c>
      <c r="B57" s="1" t="s">
        <v>86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>SUM(AD57:AE57)</f>
      </c>
      <c r="AG57" s="1"/>
    </row>
    <row x14ac:dyDescent="0.25" r="58" customHeight="1" ht="18.75">
      <c r="A58" s="1" t="s">
        <v>83</v>
      </c>
      <c r="B58" s="1" t="s">
        <v>87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>
        <f>SUM(AD58:AE58)</f>
      </c>
      <c r="AG58" s="1"/>
    </row>
    <row x14ac:dyDescent="0.25" r="59" customHeight="1" ht="18.75">
      <c r="A59" s="1" t="s">
        <v>83</v>
      </c>
      <c r="B59" s="1" t="s">
        <v>88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>
        <f>SUM(AD59:AE59)</f>
      </c>
      <c r="AG59" s="1"/>
    </row>
    <row x14ac:dyDescent="0.25" r="60" customHeight="1" ht="18.75">
      <c r="A60" s="1" t="s">
        <v>83</v>
      </c>
      <c r="B60" s="1" t="s">
        <v>89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>
        <f>SUM(AD60:AE60)</f>
      </c>
      <c r="AG60" s="1"/>
    </row>
    <row x14ac:dyDescent="0.25" r="61" customHeight="1" ht="18.75">
      <c r="A61" s="1" t="s">
        <v>83</v>
      </c>
      <c r="B61" s="1" t="s">
        <v>90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>
        <f>SUM(AD61:AE61)</f>
      </c>
      <c r="AG61" s="1"/>
    </row>
    <row x14ac:dyDescent="0.25" r="62" customHeight="1" ht="18.75">
      <c r="A62" s="1" t="s">
        <v>83</v>
      </c>
      <c r="B62" s="1" t="s">
        <v>91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>
        <f>SUM(AD62:AE62)</f>
      </c>
      <c r="AG62" s="1"/>
    </row>
    <row x14ac:dyDescent="0.25" r="63" customHeight="1" ht="18.75">
      <c r="A63" s="1" t="s">
        <v>83</v>
      </c>
      <c r="B63" s="1" t="s">
        <v>92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>
        <f>SUM(AD63:AE63)</f>
      </c>
      <c r="AG63" s="1"/>
    </row>
    <row x14ac:dyDescent="0.25" r="64" customHeight="1" ht="18.75">
      <c r="A64" s="1" t="s">
        <v>83</v>
      </c>
      <c r="B64" s="1" t="s">
        <v>93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>
        <f>SUM(AD64:AE64)</f>
      </c>
      <c r="AG64" s="1"/>
    </row>
    <row x14ac:dyDescent="0.25" r="65" customHeight="1" ht="18.75">
      <c r="A65" s="1" t="s">
        <v>83</v>
      </c>
      <c r="B65" s="1" t="s">
        <v>94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>
        <f>SUM(AD65:AE65)</f>
      </c>
      <c r="AG65" s="1"/>
    </row>
    <row x14ac:dyDescent="0.25" r="66" customHeight="1" ht="18.75">
      <c r="A66" s="1" t="s">
        <v>83</v>
      </c>
      <c r="B66" s="1" t="s">
        <v>95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>
        <f>SUM(AD66:AE66)</f>
      </c>
      <c r="AG66" s="1"/>
    </row>
    <row x14ac:dyDescent="0.25" r="67" customHeight="1" ht="18.75">
      <c r="A67" s="1" t="s">
        <v>83</v>
      </c>
      <c r="B67" s="1" t="s">
        <v>60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>
        <f>SUM(AD67:AE67)</f>
      </c>
      <c r="AG67" s="1"/>
    </row>
    <row x14ac:dyDescent="0.25" r="68" customHeight="1" ht="18.75">
      <c r="A68" s="1" t="s">
        <v>96</v>
      </c>
      <c r="B68" s="1" t="s">
        <v>97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>
        <f>SUM(AD68:AE68)</f>
      </c>
      <c r="AG68" s="1"/>
    </row>
    <row x14ac:dyDescent="0.25" r="69" customHeight="1" ht="18.75">
      <c r="A69" s="1" t="s">
        <v>96</v>
      </c>
      <c r="B69" s="1" t="s">
        <v>98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>
        <f>SUM(AD69:AE69)</f>
      </c>
      <c r="AG69" s="1"/>
    </row>
    <row x14ac:dyDescent="0.25" r="70" customHeight="1" ht="18.75">
      <c r="A70" s="1" t="s">
        <v>96</v>
      </c>
      <c r="B70" s="1" t="s">
        <v>99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>
        <f>SUM(AD70:AE70)</f>
      </c>
      <c r="AG70" s="1"/>
    </row>
    <row x14ac:dyDescent="0.25" r="71" customHeight="1" ht="18.75">
      <c r="A71" s="1" t="s">
        <v>96</v>
      </c>
      <c r="B71" s="1" t="s">
        <v>100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>
        <f>SUM(AD71:AE71)</f>
      </c>
      <c r="AG71" s="1"/>
    </row>
    <row x14ac:dyDescent="0.25" r="72" customHeight="1" ht="18.75">
      <c r="A72" s="1" t="s">
        <v>96</v>
      </c>
      <c r="B72" s="1" t="s">
        <v>101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>
        <f>SUM(AD72:AE72)</f>
      </c>
      <c r="AG72" s="1"/>
    </row>
    <row x14ac:dyDescent="0.25" r="73" customHeight="1" ht="18.75">
      <c r="A73" s="1" t="s">
        <v>96</v>
      </c>
      <c r="B73" s="1" t="s">
        <v>102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>
        <f>SUM(AD73:AE73)</f>
      </c>
      <c r="AG73" s="1"/>
    </row>
    <row x14ac:dyDescent="0.25" r="74" customHeight="1" ht="18.75">
      <c r="A74" s="1" t="s">
        <v>96</v>
      </c>
      <c r="B74" s="1" t="s">
        <v>103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>
        <f>SUM(AD74:AE74)</f>
      </c>
      <c r="AG74" s="1"/>
    </row>
    <row x14ac:dyDescent="0.25" r="75" customHeight="1" ht="18.75">
      <c r="A75" s="1" t="s">
        <v>96</v>
      </c>
      <c r="B75" s="1" t="s">
        <v>104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>
        <f>SUM(AD75:AE75)</f>
      </c>
      <c r="AG75" s="1"/>
    </row>
    <row x14ac:dyDescent="0.25" r="76" customHeight="1" ht="18.75">
      <c r="A76" s="1" t="s">
        <v>96</v>
      </c>
      <c r="B76" s="1" t="s">
        <v>105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>
        <f>SUM(AD76:AE76)</f>
      </c>
      <c r="AG76" s="1"/>
    </row>
    <row x14ac:dyDescent="0.25" r="77" customHeight="1" ht="18.75">
      <c r="A77" s="1" t="s">
        <v>96</v>
      </c>
      <c r="B77" s="1" t="s">
        <v>106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>
        <f>SUM(AD77:AE77)</f>
      </c>
      <c r="AG77" s="1"/>
    </row>
    <row x14ac:dyDescent="0.25" r="78" customHeight="1" ht="18.75">
      <c r="A78" s="1" t="s">
        <v>96</v>
      </c>
      <c r="B78" s="1" t="s">
        <v>107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>
        <f>SUM(AD78:AE78)</f>
      </c>
      <c r="AG78" s="1"/>
    </row>
    <row x14ac:dyDescent="0.25" r="79" customHeight="1" ht="18.75">
      <c r="A79" s="1" t="s">
        <v>96</v>
      </c>
      <c r="B79" s="1" t="s">
        <v>108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>
        <f>SUM(AD79:AE79)</f>
      </c>
      <c r="AG79" s="1"/>
    </row>
    <row x14ac:dyDescent="0.25" r="80" customHeight="1" ht="18.75">
      <c r="A80" s="1" t="s">
        <v>96</v>
      </c>
      <c r="B80" s="1" t="s">
        <v>109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>
        <f>SUM(AD80:AE80)</f>
      </c>
      <c r="AG80" s="1"/>
    </row>
    <row x14ac:dyDescent="0.25" r="81" customHeight="1" ht="18.75">
      <c r="A81" s="1" t="s">
        <v>96</v>
      </c>
      <c r="B81" s="1" t="s">
        <v>110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>
        <f>SUM(AD81:AE81)</f>
      </c>
      <c r="AG81" s="1"/>
    </row>
    <row x14ac:dyDescent="0.25" r="82" customHeight="1" ht="18.75">
      <c r="A82" s="1" t="s">
        <v>111</v>
      </c>
      <c r="B82" s="1" t="s">
        <v>112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>
        <f>SUM(AD82:AE82)</f>
      </c>
      <c r="AG82" s="1"/>
    </row>
    <row x14ac:dyDescent="0.25" r="83" customHeight="1" ht="18.75">
      <c r="A83" s="1" t="s">
        <v>113</v>
      </c>
      <c r="B83" s="1" t="s">
        <v>114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>
        <f>SUM(AD83:AE83)</f>
      </c>
      <c r="AG83" s="1"/>
    </row>
    <row x14ac:dyDescent="0.25" r="84" customHeight="1" ht="18.75">
      <c r="A84" s="1" t="s">
        <v>115</v>
      </c>
      <c r="B84" s="1" t="s">
        <v>116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>
        <f>SUM(AD84:AE84)</f>
      </c>
      <c r="AG84" s="1"/>
    </row>
    <row x14ac:dyDescent="0.25" r="85" customHeight="1" ht="18.75">
      <c r="A85" s="1" t="s">
        <v>115</v>
      </c>
      <c r="B85" s="1" t="s">
        <v>117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>
        <f>SUM(AD85:AE85)</f>
      </c>
      <c r="AG85" s="1"/>
    </row>
    <row x14ac:dyDescent="0.25" r="86" customHeight="1" ht="18.75">
      <c r="A86" s="1" t="s">
        <v>118</v>
      </c>
      <c r="B86" s="1" t="s">
        <v>119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>
        <f>SUM(AD86:AE86)</f>
      </c>
      <c r="AG86" s="1"/>
    </row>
    <row x14ac:dyDescent="0.25" r="87" customHeight="1" ht="18.75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1"/>
    </row>
    <row x14ac:dyDescent="0.25" r="88" customHeight="1" ht="18.75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1"/>
    </row>
    <row x14ac:dyDescent="0.25" r="89" customHeight="1" ht="18.75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1"/>
    </row>
    <row x14ac:dyDescent="0.25" r="90" customHeight="1" ht="18.75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1"/>
    </row>
    <row x14ac:dyDescent="0.25" r="91" customHeight="1" ht="18.75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1"/>
    </row>
    <row x14ac:dyDescent="0.25" r="92" customHeight="1" ht="18.75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1"/>
    </row>
    <row x14ac:dyDescent="0.25" r="93" customHeight="1" ht="18.75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1"/>
    </row>
    <row x14ac:dyDescent="0.25" r="94" customHeight="1" ht="18.75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1"/>
    </row>
    <row x14ac:dyDescent="0.25" r="95" customHeight="1" ht="18.75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1"/>
    </row>
    <row x14ac:dyDescent="0.25" r="96" customHeight="1" ht="18.75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1"/>
    </row>
    <row x14ac:dyDescent="0.25" r="97" customHeight="1" ht="18.75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1"/>
    </row>
    <row x14ac:dyDescent="0.25" r="98" customHeight="1" ht="18.75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1"/>
    </row>
    <row x14ac:dyDescent="0.25" r="99" customHeight="1" ht="18.75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1"/>
    </row>
    <row x14ac:dyDescent="0.25" r="100" customHeight="1" ht="18.75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1"/>
    </row>
    <row x14ac:dyDescent="0.25" r="101" customHeight="1" ht="18.75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1"/>
    </row>
    <row x14ac:dyDescent="0.25" r="102" customHeight="1" ht="18.75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1"/>
    </row>
    <row x14ac:dyDescent="0.25" r="103" customHeight="1" ht="18.75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1"/>
    </row>
    <row x14ac:dyDescent="0.25" r="104" customHeight="1" ht="18.75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1"/>
    </row>
    <row x14ac:dyDescent="0.25" r="105" customHeight="1" ht="18.75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1"/>
    </row>
    <row x14ac:dyDescent="0.25" r="106" customHeight="1" ht="18.75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1"/>
    </row>
    <row x14ac:dyDescent="0.25" r="107" customHeight="1" ht="18.75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1"/>
    </row>
    <row x14ac:dyDescent="0.25" r="108" customHeight="1" ht="18.75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1"/>
    </row>
    <row x14ac:dyDescent="0.25" r="109" customHeight="1" ht="18.75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1"/>
    </row>
    <row x14ac:dyDescent="0.25" r="110" customHeight="1" ht="18.75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1"/>
    </row>
    <row x14ac:dyDescent="0.25" r="111" customHeight="1" ht="18.75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1"/>
    </row>
    <row x14ac:dyDescent="0.25" r="112" customHeight="1" ht="18.75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1"/>
    </row>
    <row x14ac:dyDescent="0.25" r="113" customHeight="1" ht="18.75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1"/>
    </row>
    <row x14ac:dyDescent="0.25" r="114" customHeight="1" ht="18.75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1"/>
    </row>
    <row x14ac:dyDescent="0.25" r="115" customHeight="1" ht="18.75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1"/>
    </row>
    <row x14ac:dyDescent="0.25" r="116" customHeight="1" ht="18.75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1"/>
    </row>
    <row x14ac:dyDescent="0.25" r="117" customHeight="1" ht="18.75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1"/>
    </row>
    <row x14ac:dyDescent="0.25" r="118" customHeight="1" ht="18.75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1"/>
    </row>
    <row x14ac:dyDescent="0.25" r="119" customHeight="1" ht="18.75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1"/>
    </row>
    <row x14ac:dyDescent="0.25" r="120" customHeight="1" ht="18.75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1"/>
    </row>
    <row x14ac:dyDescent="0.25" r="121" customHeight="1" ht="18.75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1"/>
    </row>
    <row x14ac:dyDescent="0.25" r="122" customHeight="1" ht="18.75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1"/>
    </row>
    <row x14ac:dyDescent="0.25" r="123" customHeight="1" ht="18.75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1"/>
    </row>
    <row x14ac:dyDescent="0.25" r="124" customHeight="1" ht="18.75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1"/>
    </row>
    <row x14ac:dyDescent="0.25" r="125" customHeight="1" ht="18.75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1"/>
    </row>
    <row x14ac:dyDescent="0.25" r="126" customHeight="1" ht="18.75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1"/>
    </row>
    <row x14ac:dyDescent="0.25" r="127" customHeight="1" ht="18.75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1"/>
    </row>
    <row x14ac:dyDescent="0.25" r="128" customHeight="1" ht="18.75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1"/>
    </row>
    <row x14ac:dyDescent="0.25" r="129" customHeight="1" ht="18.75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1"/>
    </row>
    <row x14ac:dyDescent="0.25" r="130" customHeight="1" ht="18.75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1"/>
    </row>
    <row x14ac:dyDescent="0.25" r="131" customHeight="1" ht="18.75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1"/>
    </row>
    <row x14ac:dyDescent="0.25" r="132" customHeight="1" ht="18.75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1"/>
    </row>
    <row x14ac:dyDescent="0.25" r="133" customHeight="1" ht="18.75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1"/>
    </row>
    <row x14ac:dyDescent="0.25" r="134" customHeight="1" ht="18.75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1"/>
    </row>
    <row x14ac:dyDescent="0.25" r="135" customHeight="1" ht="18.75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1"/>
    </row>
    <row x14ac:dyDescent="0.25" r="136" customHeight="1" ht="18.75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1"/>
    </row>
    <row x14ac:dyDescent="0.25" r="137" customHeight="1" ht="18.75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1"/>
    </row>
    <row x14ac:dyDescent="0.25" r="138" customHeight="1" ht="18.75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1"/>
    </row>
    <row x14ac:dyDescent="0.25" r="139" customHeight="1" ht="18.75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1"/>
    </row>
    <row x14ac:dyDescent="0.25" r="140" customHeight="1" ht="18.75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1"/>
    </row>
    <row x14ac:dyDescent="0.25" r="141" customHeight="1" ht="18.75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1"/>
    </row>
    <row x14ac:dyDescent="0.25" r="142" customHeight="1" ht="18.75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1"/>
    </row>
    <row x14ac:dyDescent="0.25" r="143" customHeight="1" ht="18.75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1"/>
    </row>
    <row x14ac:dyDescent="0.25" r="144" customHeight="1" ht="18.75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1"/>
    </row>
    <row x14ac:dyDescent="0.25" r="145" customHeight="1" ht="18.75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1"/>
    </row>
    <row x14ac:dyDescent="0.25" r="146" customHeight="1" ht="18.75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1"/>
    </row>
    <row x14ac:dyDescent="0.25" r="147" customHeight="1" ht="18.75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1"/>
    </row>
    <row x14ac:dyDescent="0.25" r="148" customHeight="1" ht="18.75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1"/>
    </row>
    <row x14ac:dyDescent="0.25" r="149" customHeight="1" ht="18.75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1"/>
    </row>
    <row x14ac:dyDescent="0.25" r="150" customHeight="1" ht="18.75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1"/>
    </row>
    <row x14ac:dyDescent="0.25" r="151" customHeight="1" ht="18.75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1"/>
    </row>
    <row x14ac:dyDescent="0.25" r="152" customHeight="1" ht="18.75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1"/>
    </row>
    <row x14ac:dyDescent="0.25" r="153" customHeight="1" ht="18.75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1"/>
    </row>
    <row x14ac:dyDescent="0.25" r="154" customHeight="1" ht="18.75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1"/>
    </row>
    <row x14ac:dyDescent="0.25" r="155" customHeight="1" ht="18.75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1"/>
    </row>
    <row x14ac:dyDescent="0.25" r="156" customHeight="1" ht="18.75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1"/>
    </row>
    <row x14ac:dyDescent="0.25" r="157" customHeight="1" ht="18.75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1"/>
    </row>
    <row x14ac:dyDescent="0.25" r="158" customHeight="1" ht="18.75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1"/>
    </row>
    <row x14ac:dyDescent="0.25" r="159" customHeight="1" ht="18.75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1"/>
    </row>
    <row x14ac:dyDescent="0.25" r="160" customHeight="1" ht="18.75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1"/>
    </row>
    <row x14ac:dyDescent="0.25" r="161" customHeight="1" ht="18.75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1"/>
    </row>
    <row x14ac:dyDescent="0.25" r="162" customHeight="1" ht="18.75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1"/>
    </row>
    <row x14ac:dyDescent="0.25" r="163" customHeight="1" ht="18.75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1"/>
    </row>
    <row x14ac:dyDescent="0.25" r="164" customHeight="1" ht="18.75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1"/>
    </row>
    <row x14ac:dyDescent="0.25" r="165" customHeight="1" ht="18.75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1"/>
    </row>
    <row x14ac:dyDescent="0.25" r="166" customHeight="1" ht="18.75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1"/>
    </row>
    <row x14ac:dyDescent="0.25" r="167" customHeight="1" ht="18.75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1"/>
    </row>
    <row x14ac:dyDescent="0.25" r="168" customHeight="1" ht="18.75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1"/>
    </row>
    <row x14ac:dyDescent="0.25" r="169" customHeight="1" ht="18.75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1"/>
    </row>
    <row x14ac:dyDescent="0.25" r="170" customHeight="1" ht="18.75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1"/>
    </row>
    <row x14ac:dyDescent="0.25" r="171" customHeight="1" ht="18.75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1"/>
    </row>
    <row x14ac:dyDescent="0.25" r="172" customHeight="1" ht="18.75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1"/>
    </row>
    <row x14ac:dyDescent="0.25" r="173" customHeight="1" ht="18.75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1"/>
    </row>
    <row x14ac:dyDescent="0.25" r="174" customHeight="1" ht="18.75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1"/>
    </row>
    <row x14ac:dyDescent="0.25" r="175" customHeight="1" ht="18.75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1"/>
    </row>
    <row x14ac:dyDescent="0.25" r="176" customHeight="1" ht="18.75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1"/>
    </row>
    <row x14ac:dyDescent="0.25" r="177" customHeight="1" ht="18.75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1"/>
    </row>
    <row x14ac:dyDescent="0.25" r="178" customHeight="1" ht="18.75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1"/>
    </row>
    <row x14ac:dyDescent="0.25" r="179" customHeight="1" ht="18.75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1"/>
    </row>
    <row x14ac:dyDescent="0.25" r="180" customHeight="1" ht="18.75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1"/>
    </row>
    <row x14ac:dyDescent="0.25" r="181" customHeight="1" ht="18.75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1"/>
    </row>
    <row x14ac:dyDescent="0.25" r="182" customHeight="1" ht="18.75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1"/>
    </row>
    <row x14ac:dyDescent="0.25" r="183" customHeight="1" ht="18.75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1"/>
    </row>
    <row x14ac:dyDescent="0.25" r="184" customHeight="1" ht="18.75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1"/>
    </row>
    <row x14ac:dyDescent="0.25" r="185" customHeight="1" ht="18.75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1"/>
    </row>
    <row x14ac:dyDescent="0.25" r="186" customHeight="1" ht="18.75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1"/>
    </row>
    <row x14ac:dyDescent="0.25" r="187" customHeight="1" ht="18.75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1"/>
    </row>
    <row x14ac:dyDescent="0.25" r="188" customHeight="1" ht="18.75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1"/>
    </row>
    <row x14ac:dyDescent="0.25" r="189" customHeight="1" ht="18.75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1"/>
    </row>
    <row x14ac:dyDescent="0.25" r="190" customHeight="1" ht="18.75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1"/>
    </row>
    <row x14ac:dyDescent="0.25" r="191" customHeight="1" ht="18.75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1"/>
    </row>
    <row x14ac:dyDescent="0.25" r="192" customHeight="1" ht="18.75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1"/>
    </row>
    <row x14ac:dyDescent="0.25" r="193" customHeight="1" ht="18.75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1"/>
    </row>
    <row x14ac:dyDescent="0.25" r="194" customHeight="1" ht="18.75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1"/>
    </row>
    <row x14ac:dyDescent="0.25" r="195" customHeight="1" ht="18.75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1"/>
    </row>
    <row x14ac:dyDescent="0.25" r="196" customHeight="1" ht="18.75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1"/>
    </row>
    <row x14ac:dyDescent="0.25" r="197" customHeight="1" ht="18.75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1"/>
    </row>
    <row x14ac:dyDescent="0.25" r="198" customHeight="1" ht="18.75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1"/>
    </row>
    <row x14ac:dyDescent="0.25" r="199" customHeight="1" ht="18.75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1"/>
    </row>
    <row x14ac:dyDescent="0.25" r="200" customHeight="1" ht="18.75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1"/>
    </row>
    <row x14ac:dyDescent="0.25" r="201" customHeight="1" ht="18.75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1"/>
    </row>
    <row x14ac:dyDescent="0.25" r="202" customHeight="1" ht="18.75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1"/>
    </row>
    <row x14ac:dyDescent="0.25" r="203" customHeight="1" ht="18.75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1"/>
    </row>
    <row x14ac:dyDescent="0.25" r="204" customHeight="1" ht="18.75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1"/>
    </row>
    <row x14ac:dyDescent="0.25" r="205" customHeight="1" ht="18.75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1"/>
    </row>
    <row x14ac:dyDescent="0.25" r="206" customHeight="1" ht="18.75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1"/>
    </row>
    <row x14ac:dyDescent="0.25" r="207" customHeight="1" ht="18.75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1"/>
    </row>
    <row x14ac:dyDescent="0.25" r="208" customHeight="1" ht="18.75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1"/>
    </row>
    <row x14ac:dyDescent="0.25" r="209" customHeight="1" ht="18.75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1"/>
    </row>
    <row x14ac:dyDescent="0.25" r="210" customHeight="1" ht="18.75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1"/>
    </row>
    <row x14ac:dyDescent="0.25" r="211" customHeight="1" ht="18.75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1"/>
    </row>
    <row x14ac:dyDescent="0.25" r="212" customHeight="1" ht="18.75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1"/>
    </row>
    <row x14ac:dyDescent="0.25" r="213" customHeight="1" ht="18.75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1"/>
    </row>
    <row x14ac:dyDescent="0.25" r="214" customHeight="1" ht="18.75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1"/>
    </row>
    <row x14ac:dyDescent="0.25" r="215" customHeight="1" ht="18.75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1"/>
    </row>
    <row x14ac:dyDescent="0.25" r="216" customHeight="1" ht="18.75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1"/>
    </row>
    <row x14ac:dyDescent="0.25" r="217" customHeight="1" ht="18.75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1"/>
    </row>
    <row x14ac:dyDescent="0.25" r="218" customHeight="1" ht="18.75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1"/>
    </row>
    <row x14ac:dyDescent="0.25" r="219" customHeight="1" ht="18.75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1"/>
    </row>
    <row x14ac:dyDescent="0.25" r="220" customHeight="1" ht="18.75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1"/>
    </row>
    <row x14ac:dyDescent="0.25" r="221" customHeight="1" ht="18.75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1"/>
    </row>
    <row x14ac:dyDescent="0.25" r="222" customHeight="1" ht="18.75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1"/>
    </row>
    <row x14ac:dyDescent="0.25" r="223" customHeight="1" ht="18.75">
      <c r="A223" s="1"/>
      <c r="B223" s="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1"/>
    </row>
    <row x14ac:dyDescent="0.25" r="224" customHeight="1" ht="18.75">
      <c r="A224" s="1"/>
      <c r="B224" s="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1"/>
    </row>
    <row x14ac:dyDescent="0.25" r="225" customHeight="1" ht="18.75">
      <c r="A225" s="1"/>
      <c r="B225" s="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1"/>
    </row>
    <row x14ac:dyDescent="0.25" r="226" customHeight="1" ht="18.75">
      <c r="A226" s="1"/>
      <c r="B226" s="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1"/>
    </row>
    <row x14ac:dyDescent="0.25" r="227" customHeight="1" ht="18.75">
      <c r="A227" s="1"/>
      <c r="B227" s="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1"/>
    </row>
    <row x14ac:dyDescent="0.25" r="228" customHeight="1" ht="18.75">
      <c r="A228" s="1"/>
      <c r="B228" s="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1"/>
    </row>
    <row x14ac:dyDescent="0.25" r="229" customHeight="1" ht="18.75">
      <c r="A229" s="1"/>
      <c r="B229" s="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1"/>
    </row>
    <row x14ac:dyDescent="0.25" r="230" customHeight="1" ht="18.75">
      <c r="A230" s="1"/>
      <c r="B230" s="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1"/>
    </row>
    <row x14ac:dyDescent="0.25" r="231" customHeight="1" ht="18.75">
      <c r="A231" s="1"/>
      <c r="B231" s="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1"/>
    </row>
    <row x14ac:dyDescent="0.25" r="232" customHeight="1" ht="18.75">
      <c r="A232" s="1"/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1"/>
    </row>
    <row x14ac:dyDescent="0.25" r="233" customHeight="1" ht="18.75">
      <c r="A233" s="1"/>
      <c r="B233" s="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1"/>
    </row>
    <row x14ac:dyDescent="0.25" r="234" customHeight="1" ht="18.75">
      <c r="A234" s="1"/>
      <c r="B234" s="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1"/>
    </row>
    <row x14ac:dyDescent="0.25" r="235" customHeight="1" ht="18.75">
      <c r="A235" s="1"/>
      <c r="B235" s="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1"/>
    </row>
    <row x14ac:dyDescent="0.25" r="236" customHeight="1" ht="18.75">
      <c r="A236" s="1"/>
      <c r="B236" s="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1"/>
    </row>
    <row x14ac:dyDescent="0.25" r="237" customHeight="1" ht="18.75">
      <c r="A237" s="1"/>
      <c r="B237" s="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1"/>
    </row>
    <row x14ac:dyDescent="0.25" r="238" customHeight="1" ht="18.75">
      <c r="A238" s="1"/>
      <c r="B238" s="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1"/>
    </row>
    <row x14ac:dyDescent="0.25" r="239" customHeight="1" ht="18.75">
      <c r="A239" s="1"/>
      <c r="B239" s="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1"/>
    </row>
    <row x14ac:dyDescent="0.25" r="240" customHeight="1" ht="18.75">
      <c r="A240" s="1"/>
      <c r="B240" s="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1"/>
    </row>
    <row x14ac:dyDescent="0.25" r="241" customHeight="1" ht="18.75">
      <c r="A241" s="1"/>
      <c r="B241" s="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1"/>
    </row>
    <row x14ac:dyDescent="0.25" r="242" customHeight="1" ht="18.75">
      <c r="A242" s="1"/>
      <c r="B242" s="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1"/>
    </row>
    <row x14ac:dyDescent="0.25" r="243" customHeight="1" ht="18.75">
      <c r="A243" s="1"/>
      <c r="B243" s="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1"/>
    </row>
    <row x14ac:dyDescent="0.25" r="244" customHeight="1" ht="18.75">
      <c r="A244" s="1"/>
      <c r="B244" s="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1"/>
    </row>
    <row x14ac:dyDescent="0.25" r="245" customHeight="1" ht="18.75">
      <c r="A245" s="1"/>
      <c r="B245" s="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1"/>
    </row>
    <row x14ac:dyDescent="0.25" r="246" customHeight="1" ht="18.75">
      <c r="A246" s="1"/>
      <c r="B246" s="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1"/>
    </row>
    <row x14ac:dyDescent="0.25" r="247" customHeight="1" ht="18.75">
      <c r="A247" s="1"/>
      <c r="B247" s="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1"/>
    </row>
    <row x14ac:dyDescent="0.25" r="248" customHeight="1" ht="18.75">
      <c r="A248" s="1"/>
      <c r="B248" s="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1"/>
    </row>
    <row x14ac:dyDescent="0.25" r="249" customHeight="1" ht="18.75">
      <c r="A249" s="1"/>
      <c r="B249" s="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1"/>
    </row>
    <row x14ac:dyDescent="0.25" r="250" customHeight="1" ht="18.75">
      <c r="A250" s="1"/>
      <c r="B250" s="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1"/>
    </row>
    <row x14ac:dyDescent="0.25" r="251" customHeight="1" ht="18.75">
      <c r="A251" s="1"/>
      <c r="B251" s="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1"/>
    </row>
    <row x14ac:dyDescent="0.25" r="252" customHeight="1" ht="18.75">
      <c r="A252" s="1"/>
      <c r="B252" s="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1"/>
    </row>
    <row x14ac:dyDescent="0.25" r="253" customHeight="1" ht="18.75">
      <c r="A253" s="1"/>
      <c r="B253" s="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1"/>
    </row>
    <row x14ac:dyDescent="0.25" r="254" customHeight="1" ht="18.75">
      <c r="A254" s="1"/>
      <c r="B254" s="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1"/>
    </row>
    <row x14ac:dyDescent="0.25" r="255" customHeight="1" ht="18.75">
      <c r="A255" s="1"/>
      <c r="B255" s="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1"/>
    </row>
    <row x14ac:dyDescent="0.25" r="256" customHeight="1" ht="18.75">
      <c r="A256" s="1"/>
      <c r="B256" s="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1"/>
    </row>
    <row x14ac:dyDescent="0.25" r="257" customHeight="1" ht="18.75">
      <c r="A257" s="1"/>
      <c r="B257" s="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1"/>
    </row>
    <row x14ac:dyDescent="0.25" r="258" customHeight="1" ht="18.75">
      <c r="A258" s="1"/>
      <c r="B258" s="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1"/>
    </row>
    <row x14ac:dyDescent="0.25" r="259" customHeight="1" ht="18.75">
      <c r="A259" s="1"/>
      <c r="B259" s="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1"/>
    </row>
    <row x14ac:dyDescent="0.25" r="260" customHeight="1" ht="18.75">
      <c r="A260" s="1"/>
      <c r="B260" s="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1"/>
    </row>
    <row x14ac:dyDescent="0.25" r="261" customHeight="1" ht="18.75">
      <c r="A261" s="1"/>
      <c r="B261" s="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1"/>
    </row>
    <row x14ac:dyDescent="0.25" r="262" customHeight="1" ht="18.75">
      <c r="A262" s="1"/>
      <c r="B262" s="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1"/>
    </row>
    <row x14ac:dyDescent="0.25" r="263" customHeight="1" ht="18.75">
      <c r="A263" s="1"/>
      <c r="B263" s="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1"/>
    </row>
    <row x14ac:dyDescent="0.25" r="264" customHeight="1" ht="18.75">
      <c r="A264" s="1"/>
      <c r="B264" s="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1"/>
    </row>
    <row x14ac:dyDescent="0.25" r="265" customHeight="1" ht="18.75">
      <c r="A265" s="1"/>
      <c r="B265" s="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1"/>
    </row>
    <row x14ac:dyDescent="0.25" r="266" customHeight="1" ht="18.75">
      <c r="A266" s="1"/>
      <c r="B266" s="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1"/>
    </row>
    <row x14ac:dyDescent="0.25" r="267" customHeight="1" ht="18.75">
      <c r="A267" s="1"/>
      <c r="B267" s="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1"/>
    </row>
    <row x14ac:dyDescent="0.25" r="268" customHeight="1" ht="18.75">
      <c r="A268" s="1"/>
      <c r="B268" s="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1"/>
    </row>
    <row x14ac:dyDescent="0.25" r="269" customHeight="1" ht="18.75">
      <c r="A269" s="1"/>
      <c r="B269" s="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1"/>
    </row>
    <row x14ac:dyDescent="0.25" r="270" customHeight="1" ht="18.75">
      <c r="A270" s="1"/>
      <c r="B270" s="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1"/>
    </row>
    <row x14ac:dyDescent="0.25" r="271" customHeight="1" ht="18.75">
      <c r="A271" s="1"/>
      <c r="B271" s="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1"/>
    </row>
    <row x14ac:dyDescent="0.25" r="272" customHeight="1" ht="18.75">
      <c r="A272" s="1"/>
      <c r="B272" s="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1"/>
    </row>
    <row x14ac:dyDescent="0.25" r="273" customHeight="1" ht="18.75">
      <c r="A273" s="1"/>
      <c r="B273" s="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1"/>
    </row>
    <row x14ac:dyDescent="0.25" r="274" customHeight="1" ht="18.75">
      <c r="A274" s="1"/>
      <c r="B274" s="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1"/>
    </row>
    <row x14ac:dyDescent="0.25" r="275" customHeight="1" ht="18.75">
      <c r="A275" s="1"/>
      <c r="B275" s="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1"/>
    </row>
    <row x14ac:dyDescent="0.25" r="276" customHeight="1" ht="18.75">
      <c r="A276" s="1"/>
      <c r="B276" s="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1"/>
    </row>
    <row x14ac:dyDescent="0.25" r="277" customHeight="1" ht="18.75">
      <c r="A277" s="1"/>
      <c r="B277" s="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1"/>
    </row>
    <row x14ac:dyDescent="0.25" r="278" customHeight="1" ht="18.75">
      <c r="A278" s="1"/>
      <c r="B278" s="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1"/>
    </row>
    <row x14ac:dyDescent="0.25" r="279" customHeight="1" ht="18.75">
      <c r="A279" s="1"/>
      <c r="B279" s="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1"/>
    </row>
    <row x14ac:dyDescent="0.25" r="280" customHeight="1" ht="18.75">
      <c r="A280" s="1"/>
      <c r="B280" s="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1"/>
    </row>
    <row x14ac:dyDescent="0.25" r="281" customHeight="1" ht="18.75">
      <c r="A281" s="1"/>
      <c r="B281" s="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1"/>
    </row>
    <row x14ac:dyDescent="0.25" r="282" customHeight="1" ht="18.75">
      <c r="A282" s="1"/>
      <c r="B282" s="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1"/>
    </row>
    <row x14ac:dyDescent="0.25" r="283" customHeight="1" ht="18.75">
      <c r="A283" s="1"/>
      <c r="B283" s="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1"/>
    </row>
    <row x14ac:dyDescent="0.25" r="284" customHeight="1" ht="18.75">
      <c r="A284" s="1"/>
      <c r="B284" s="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1"/>
    </row>
    <row x14ac:dyDescent="0.25" r="285" customHeight="1" ht="18.75">
      <c r="A285" s="1"/>
      <c r="B285" s="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1"/>
    </row>
    <row x14ac:dyDescent="0.25" r="286" customHeight="1" ht="18.75">
      <c r="A286" s="1"/>
      <c r="B286" s="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1"/>
    </row>
    <row x14ac:dyDescent="0.25" r="287" customHeight="1" ht="18.75">
      <c r="A287" s="1"/>
      <c r="B287" s="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1"/>
    </row>
    <row x14ac:dyDescent="0.25" r="288" customHeight="1" ht="18.75">
      <c r="A288" s="1"/>
      <c r="B288" s="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1"/>
    </row>
    <row x14ac:dyDescent="0.25" r="289" customHeight="1" ht="18.75">
      <c r="A289" s="1"/>
      <c r="B289" s="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1"/>
    </row>
    <row x14ac:dyDescent="0.25" r="290" customHeight="1" ht="18.75">
      <c r="A290" s="1"/>
      <c r="B290" s="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1"/>
    </row>
    <row x14ac:dyDescent="0.25" r="291" customHeight="1" ht="18.75">
      <c r="A291" s="1"/>
      <c r="B291" s="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1"/>
    </row>
    <row x14ac:dyDescent="0.25" r="292" customHeight="1" ht="18.75">
      <c r="A292" s="1"/>
      <c r="B292" s="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1"/>
    </row>
    <row x14ac:dyDescent="0.25" r="293" customHeight="1" ht="18.75">
      <c r="A293" s="1"/>
      <c r="B293" s="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1"/>
    </row>
    <row x14ac:dyDescent="0.25" r="294" customHeight="1" ht="18.75">
      <c r="A294" s="1"/>
      <c r="B294" s="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1"/>
    </row>
    <row x14ac:dyDescent="0.25" r="295" customHeight="1" ht="18.75">
      <c r="A295" s="1"/>
      <c r="B295" s="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1"/>
    </row>
    <row x14ac:dyDescent="0.25" r="296" customHeight="1" ht="18.75">
      <c r="A296" s="1"/>
      <c r="B296" s="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1"/>
    </row>
    <row x14ac:dyDescent="0.25" r="297" customHeight="1" ht="18.75">
      <c r="A297" s="1"/>
      <c r="B297" s="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1"/>
    </row>
    <row x14ac:dyDescent="0.25" r="298" customHeight="1" ht="18.75">
      <c r="A298" s="1"/>
      <c r="B298" s="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1"/>
    </row>
    <row x14ac:dyDescent="0.25" r="299" customHeight="1" ht="18.75">
      <c r="A299" s="1"/>
      <c r="B299" s="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1"/>
    </row>
    <row x14ac:dyDescent="0.25" r="300" customHeight="1" ht="18.75">
      <c r="A300" s="1"/>
      <c r="B300" s="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1"/>
    </row>
    <row x14ac:dyDescent="0.25" r="301" customHeight="1" ht="18.75">
      <c r="A301" s="1"/>
      <c r="B301" s="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1"/>
    </row>
    <row x14ac:dyDescent="0.25" r="302" customHeight="1" ht="18.75">
      <c r="A302" s="1"/>
      <c r="B302" s="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1"/>
    </row>
    <row x14ac:dyDescent="0.25" r="303" customHeight="1" ht="18.75">
      <c r="A303" s="1"/>
      <c r="B303" s="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1"/>
    </row>
    <row x14ac:dyDescent="0.25" r="304" customHeight="1" ht="18.75">
      <c r="A304" s="1"/>
      <c r="B304" s="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1"/>
    </row>
    <row x14ac:dyDescent="0.25" r="305" customHeight="1" ht="18.75">
      <c r="A305" s="1"/>
      <c r="B305" s="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1"/>
    </row>
    <row x14ac:dyDescent="0.25" r="306" customHeight="1" ht="18.75">
      <c r="A306" s="1"/>
      <c r="B306" s="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1"/>
    </row>
    <row x14ac:dyDescent="0.25" r="307" customHeight="1" ht="18.75">
      <c r="A307" s="1"/>
      <c r="B307" s="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1"/>
    </row>
    <row x14ac:dyDescent="0.25" r="308" customHeight="1" ht="18.75">
      <c r="A308" s="1"/>
      <c r="B308" s="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1"/>
    </row>
    <row x14ac:dyDescent="0.25" r="309" customHeight="1" ht="18.75">
      <c r="A309" s="1"/>
      <c r="B309" s="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1"/>
    </row>
    <row x14ac:dyDescent="0.25" r="310" customHeight="1" ht="18.75">
      <c r="A310" s="1"/>
      <c r="B310" s="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1"/>
    </row>
    <row x14ac:dyDescent="0.25" r="311" customHeight="1" ht="18.75">
      <c r="A311" s="1"/>
      <c r="B311" s="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1"/>
    </row>
    <row x14ac:dyDescent="0.25" r="312" customHeight="1" ht="18.75">
      <c r="A312" s="1"/>
      <c r="B312" s="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1"/>
    </row>
    <row x14ac:dyDescent="0.25" r="313" customHeight="1" ht="18.75">
      <c r="A313" s="1"/>
      <c r="B313" s="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1"/>
    </row>
    <row x14ac:dyDescent="0.25" r="314" customHeight="1" ht="18.75">
      <c r="A314" s="1"/>
      <c r="B314" s="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1"/>
    </row>
    <row x14ac:dyDescent="0.25" r="315" customHeight="1" ht="18.75">
      <c r="A315" s="1"/>
      <c r="B315" s="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1"/>
    </row>
    <row x14ac:dyDescent="0.25" r="316" customHeight="1" ht="18.75">
      <c r="A316" s="1"/>
      <c r="B316" s="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1"/>
    </row>
    <row x14ac:dyDescent="0.25" r="317" customHeight="1" ht="18.75">
      <c r="A317" s="1"/>
      <c r="B317" s="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1"/>
    </row>
    <row x14ac:dyDescent="0.25" r="318" customHeight="1" ht="18.75">
      <c r="A318" s="1"/>
      <c r="B318" s="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1"/>
    </row>
    <row x14ac:dyDescent="0.25" r="319" customHeight="1" ht="18.75">
      <c r="A319" s="1"/>
      <c r="B319" s="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1"/>
    </row>
    <row x14ac:dyDescent="0.25" r="320" customHeight="1" ht="18.75">
      <c r="A320" s="1"/>
      <c r="B320" s="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1"/>
    </row>
    <row x14ac:dyDescent="0.25" r="321" customHeight="1" ht="18.75">
      <c r="A321" s="1"/>
      <c r="B321" s="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1"/>
    </row>
    <row x14ac:dyDescent="0.25" r="322" customHeight="1" ht="18.75">
      <c r="A322" s="1"/>
      <c r="B322" s="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1"/>
    </row>
    <row x14ac:dyDescent="0.25" r="323" customHeight="1" ht="18.75">
      <c r="A323" s="1"/>
      <c r="B323" s="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1"/>
    </row>
    <row x14ac:dyDescent="0.25" r="324" customHeight="1" ht="18.75">
      <c r="A324" s="1"/>
      <c r="B324" s="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1"/>
    </row>
    <row x14ac:dyDescent="0.25" r="325" customHeight="1" ht="18.75">
      <c r="A325" s="1"/>
      <c r="B325" s="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1"/>
    </row>
    <row x14ac:dyDescent="0.25" r="326" customHeight="1" ht="18.75">
      <c r="A326" s="1"/>
      <c r="B326" s="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1"/>
    </row>
    <row x14ac:dyDescent="0.25" r="327" customHeight="1" ht="18.75">
      <c r="A327" s="1"/>
      <c r="B327" s="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1"/>
    </row>
    <row x14ac:dyDescent="0.25" r="328" customHeight="1" ht="18.75">
      <c r="A328" s="1"/>
      <c r="B328" s="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1"/>
    </row>
    <row x14ac:dyDescent="0.25" r="329" customHeight="1" ht="18.75">
      <c r="A329" s="1"/>
      <c r="B329" s="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1"/>
    </row>
    <row x14ac:dyDescent="0.25" r="330" customHeight="1" ht="18.75">
      <c r="A330" s="1"/>
      <c r="B330" s="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1"/>
    </row>
    <row x14ac:dyDescent="0.25" r="331" customHeight="1" ht="18.75">
      <c r="A331" s="1"/>
      <c r="B331" s="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1"/>
    </row>
    <row x14ac:dyDescent="0.25" r="332" customHeight="1" ht="18.75">
      <c r="A332" s="1"/>
      <c r="B332" s="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1"/>
    </row>
    <row x14ac:dyDescent="0.25" r="333" customHeight="1" ht="18.75">
      <c r="A333" s="1"/>
      <c r="B333" s="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1"/>
    </row>
    <row x14ac:dyDescent="0.25" r="334" customHeight="1" ht="18.75">
      <c r="A334" s="1"/>
      <c r="B334" s="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1"/>
    </row>
    <row x14ac:dyDescent="0.25" r="335" customHeight="1" ht="18.75">
      <c r="A335" s="1"/>
      <c r="B335" s="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1"/>
    </row>
    <row x14ac:dyDescent="0.25" r="336" customHeight="1" ht="18.75">
      <c r="A336" s="1"/>
      <c r="B336" s="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1"/>
    </row>
    <row x14ac:dyDescent="0.25" r="337" customHeight="1" ht="18.75">
      <c r="A337" s="1"/>
      <c r="B337" s="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1"/>
    </row>
    <row x14ac:dyDescent="0.25" r="338" customHeight="1" ht="18.75">
      <c r="A338" s="1"/>
      <c r="B338" s="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5"/>
    </row>
    <row x14ac:dyDescent="0.25" r="339" customHeight="1" ht="18.75">
      <c r="A339" s="1"/>
      <c r="B339" s="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5"/>
    </row>
    <row x14ac:dyDescent="0.25" r="340" customHeight="1" ht="18.75">
      <c r="A340" s="1"/>
      <c r="B340" s="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</row>
    <row x14ac:dyDescent="0.25" r="341" customHeight="1" ht="18.75">
      <c r="A341" s="1"/>
      <c r="B341" s="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</row>
    <row x14ac:dyDescent="0.25" r="342" customHeight="1" ht="18.75">
      <c r="A342" s="1"/>
      <c r="B342" s="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5"/>
    </row>
    <row x14ac:dyDescent="0.25" r="343" customHeight="1" ht="18.75">
      <c r="A343" s="1"/>
      <c r="B343" s="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5"/>
    </row>
    <row x14ac:dyDescent="0.25" r="344" customHeight="1" ht="18.75">
      <c r="A344" s="1"/>
      <c r="B344" s="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5"/>
    </row>
    <row x14ac:dyDescent="0.25" r="345" customHeight="1" ht="18.75">
      <c r="A345" s="1"/>
      <c r="B345" s="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</row>
    <row x14ac:dyDescent="0.25" r="346" customHeight="1" ht="18.75">
      <c r="A346" s="1"/>
      <c r="B346" s="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</row>
    <row x14ac:dyDescent="0.25" r="347" customHeight="1" ht="18.75">
      <c r="A347" s="1"/>
      <c r="B347" s="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</row>
    <row x14ac:dyDescent="0.25" r="348" customHeight="1" ht="18.75">
      <c r="A348" s="1"/>
      <c r="B348" s="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5"/>
    </row>
    <row x14ac:dyDescent="0.25" r="349" customHeight="1" ht="18.75">
      <c r="A349" s="1"/>
      <c r="B349" s="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5"/>
    </row>
    <row x14ac:dyDescent="0.25" r="350" customHeight="1" ht="18.75">
      <c r="A350" s="1"/>
      <c r="B350" s="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5"/>
    </row>
    <row x14ac:dyDescent="0.25" r="351" customHeight="1" ht="18.75">
      <c r="A351" s="1"/>
      <c r="B351" s="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5"/>
    </row>
    <row x14ac:dyDescent="0.25" r="352" customHeight="1" ht="18.75">
      <c r="A352" s="1"/>
      <c r="B352" s="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5"/>
    </row>
    <row x14ac:dyDescent="0.25" r="353" customHeight="1" ht="18.75">
      <c r="A353" s="1"/>
      <c r="B353" s="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Individual</vt:lpstr>
      <vt:lpstr>Renewal book 2026</vt:lpstr>
      <vt:lpstr>Revenue walk Retail</vt:lpstr>
      <vt:lpstr>SIB_Retail_details_R</vt:lpstr>
      <vt:lpstr>Lynette</vt:lpstr>
      <vt:lpstr>KEY</vt:lpstr>
      <vt:lpstr>Monthly2016</vt:lpstr>
      <vt:lpstr>Monthly2017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2026-02-18T07:29:41.880Z</dcterms:created>
  <dcterms:modified xsi:type="dcterms:W3CDTF">2026-02-18T07:29:41.880Z</dcterms:modified>
</cp:coreProperties>
</file>